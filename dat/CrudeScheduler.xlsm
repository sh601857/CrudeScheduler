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Github\CrudeScheduler\dat\"/>
    </mc:Choice>
  </mc:AlternateContent>
  <bookViews>
    <workbookView xWindow="0" yWindow="0" windowWidth="20490" windowHeight="9255" tabRatio="867" activeTab="12"/>
  </bookViews>
  <sheets>
    <sheet name="Settings" sheetId="8" r:id="rId1"/>
    <sheet name="Vessels" sheetId="1" state="hidden" r:id="rId2"/>
    <sheet name="CrudeReceipts" sheetId="6" r:id="rId3"/>
    <sheet name="RuningOps" sheetId="11" r:id="rId4"/>
    <sheet name="PreSchOps" sheetId="13" r:id="rId5"/>
    <sheet name="Crudes" sheetId="5" r:id="rId6"/>
    <sheet name="Tanks" sheetId="2" r:id="rId7"/>
    <sheet name="CDUs" sheetId="4" r:id="rId8"/>
    <sheet name="Pipelines" sheetId="3" r:id="rId9"/>
    <sheet name="Operations" sheetId="9" r:id="rId10"/>
    <sheet name="Card" sheetId="12" r:id="rId11"/>
    <sheet name="Plots" sheetId="14" r:id="rId12"/>
    <sheet name="CBlends" sheetId="7" r:id="rId13"/>
    <sheet name="PP" sheetId="15" r:id="rId1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7" l="1"/>
  <c r="K1" i="7"/>
  <c r="I1" i="7"/>
  <c r="H1" i="7"/>
  <c r="L1" i="7"/>
  <c r="G1" i="5"/>
  <c r="H1" i="5"/>
  <c r="I1" i="5"/>
  <c r="J1" i="5"/>
  <c r="K1" i="5"/>
  <c r="L1" i="5"/>
  <c r="M1" i="5"/>
  <c r="O1" i="5" l="1"/>
  <c r="F1" i="5"/>
  <c r="E1" i="5"/>
  <c r="D1" i="5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G2" i="13" l="1"/>
  <c r="R2" i="12" l="1"/>
  <c r="G3" i="13" l="1"/>
  <c r="P3" i="13" s="1"/>
  <c r="P2" i="13"/>
  <c r="O3" i="13"/>
  <c r="O2" i="13"/>
  <c r="F2" i="11" l="1"/>
  <c r="H2" i="11" l="1"/>
  <c r="I2" i="11" s="1"/>
  <c r="P2" i="11"/>
  <c r="O2" i="11"/>
  <c r="F4" i="6" l="1"/>
  <c r="P4" i="6" s="1"/>
  <c r="O4" i="6"/>
  <c r="F3" i="6"/>
  <c r="P3" i="6" s="1"/>
  <c r="F2" i="6"/>
  <c r="P2" i="6" s="1"/>
  <c r="O3" i="6"/>
  <c r="O2" i="6"/>
  <c r="P2" i="1"/>
  <c r="O2" i="1"/>
  <c r="D2" i="8" l="1"/>
  <c r="K2" i="4" l="1"/>
  <c r="J2" i="4"/>
  <c r="I3" i="2"/>
  <c r="I4" i="2"/>
  <c r="I5" i="2"/>
  <c r="I6" i="2"/>
  <c r="I7" i="2"/>
  <c r="I8" i="2"/>
  <c r="I2" i="2"/>
  <c r="J3" i="2"/>
  <c r="J4" i="2"/>
  <c r="J5" i="2"/>
  <c r="J6" i="2"/>
  <c r="J7" i="2"/>
  <c r="J8" i="2"/>
  <c r="J2" i="2"/>
  <c r="H3" i="3" l="1"/>
  <c r="G3" i="3"/>
  <c r="H2" i="3" l="1"/>
</calcChain>
</file>

<file path=xl/comments1.xml><?xml version="1.0" encoding="utf-8"?>
<comments xmlns="http://schemas.openxmlformats.org/spreadsheetml/2006/main">
  <authors>
    <author>enh</author>
  </authors>
  <commentLis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 xml:space="preserve">
暂时没用</t>
        </r>
      </text>
    </comment>
  </commentList>
</comments>
</file>

<file path=xl/comments2.xml><?xml version="1.0" encoding="utf-8"?>
<comments xmlns="http://schemas.openxmlformats.org/spreadsheetml/2006/main">
  <authors>
    <author>enh</author>
  </authors>
  <commentLis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>常规操作根据进出规则自动判断相斥操作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enh:</t>
        </r>
        <r>
          <rPr>
            <sz val="9"/>
            <color indexed="81"/>
            <rFont val="宋体"/>
            <family val="3"/>
            <charset val="134"/>
          </rPr>
          <t xml:space="preserve">
Range:在设定范围内反生
Fixed:固定的的开始和结束时间</t>
        </r>
      </text>
    </comment>
  </commentList>
</comments>
</file>

<file path=xl/comments3.xml><?xml version="1.0" encoding="utf-8"?>
<comments xmlns="http://schemas.openxmlformats.org/spreadsheetml/2006/main">
  <authors>
    <author>enh</author>
  </authors>
  <commentList>
    <comment ref="A1" authorId="0" shapeId="0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cardinality</t>
        </r>
      </text>
    </comment>
    <comment ref="F1" authorId="0" shapeId="0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T1 cardinality</t>
        </r>
      </text>
    </comment>
    <comment ref="K1" authorId="0" shapeId="0">
      <text>
        <r>
          <rPr>
            <b/>
            <sz val="9"/>
            <color indexed="81"/>
            <rFont val="宋体"/>
            <charset val="134"/>
          </rPr>
          <t>enh:</t>
        </r>
        <r>
          <rPr>
            <sz val="9"/>
            <color indexed="81"/>
            <rFont val="宋体"/>
            <charset val="134"/>
          </rPr>
          <t xml:space="preserve">
T cardinality</t>
        </r>
      </text>
    </comment>
  </commentList>
</comments>
</file>

<file path=xl/sharedStrings.xml><?xml version="1.0" encoding="utf-8"?>
<sst xmlns="http://schemas.openxmlformats.org/spreadsheetml/2006/main" count="369" uniqueCount="208">
  <si>
    <t>管道</t>
    <phoneticPr fontId="1" type="noConversion"/>
  </si>
  <si>
    <t>DN
[mm]</t>
    <phoneticPr fontId="1" type="noConversion"/>
  </si>
  <si>
    <t>全长
[km]</t>
    <phoneticPr fontId="1" type="noConversion"/>
  </si>
  <si>
    <t>容积
[吨]</t>
    <phoneticPr fontId="1" type="noConversion"/>
  </si>
  <si>
    <t>编号</t>
    <phoneticPr fontId="1" type="noConversion"/>
  </si>
  <si>
    <t>编号</t>
    <phoneticPr fontId="1" type="noConversion"/>
  </si>
  <si>
    <t>G181</t>
    <phoneticPr fontId="1" type="noConversion"/>
  </si>
  <si>
    <t>G182</t>
  </si>
  <si>
    <t>G183</t>
  </si>
  <si>
    <t>G184</t>
  </si>
  <si>
    <t>G101</t>
    <phoneticPr fontId="1" type="noConversion"/>
  </si>
  <si>
    <t>G102</t>
  </si>
  <si>
    <t>名称</t>
    <phoneticPr fontId="1" type="noConversion"/>
  </si>
  <si>
    <t>类别</t>
    <phoneticPr fontId="1" type="noConversion"/>
  </si>
  <si>
    <t>原油罐</t>
    <phoneticPr fontId="1" type="noConversion"/>
  </si>
  <si>
    <t>生产罐</t>
    <phoneticPr fontId="1" type="noConversion"/>
  </si>
  <si>
    <t>G109</t>
    <phoneticPr fontId="1" type="noConversion"/>
  </si>
  <si>
    <t>原油库区至中心罐区</t>
  </si>
  <si>
    <r>
      <t xml:space="preserve"> 容积
[m</t>
    </r>
    <r>
      <rPr>
        <sz val="10"/>
        <color theme="1"/>
        <rFont val="宋体"/>
        <family val="3"/>
        <charset val="134"/>
      </rPr>
      <t>³</t>
    </r>
    <r>
      <rPr>
        <sz val="10"/>
        <color theme="1"/>
        <rFont val="宋体"/>
        <family val="2"/>
        <charset val="134"/>
        <scheme val="minor"/>
      </rPr>
      <t>]</t>
    </r>
    <phoneticPr fontId="1" type="noConversion"/>
  </si>
  <si>
    <t>每米容积
[m³]</t>
    <phoneticPr fontId="1" type="noConversion"/>
  </si>
  <si>
    <t>编号</t>
    <phoneticPr fontId="1" type="noConversion"/>
  </si>
  <si>
    <t>油种</t>
    <phoneticPr fontId="1" type="noConversion"/>
  </si>
  <si>
    <t>开始时间</t>
    <phoneticPr fontId="1" type="noConversion"/>
  </si>
  <si>
    <t>结束时间</t>
    <phoneticPr fontId="1" type="noConversion"/>
  </si>
  <si>
    <t>量
[吨]</t>
    <phoneticPr fontId="1" type="noConversion"/>
  </si>
  <si>
    <t>硫含量
[%]</t>
    <phoneticPr fontId="1" type="noConversion"/>
  </si>
  <si>
    <t>酸值</t>
    <phoneticPr fontId="1" type="noConversion"/>
  </si>
  <si>
    <t>API</t>
    <phoneticPr fontId="1" type="noConversion"/>
  </si>
  <si>
    <t>到港时间</t>
    <phoneticPr fontId="1" type="noConversion"/>
  </si>
  <si>
    <t>离港时间</t>
    <phoneticPr fontId="1" type="noConversion"/>
  </si>
  <si>
    <t>CDU1</t>
    <phoneticPr fontId="1" type="noConversion"/>
  </si>
  <si>
    <t>编号</t>
    <phoneticPr fontId="1" type="noConversion"/>
  </si>
  <si>
    <t>名称</t>
    <phoneticPr fontId="1" type="noConversion"/>
  </si>
  <si>
    <t>编号</t>
    <phoneticPr fontId="1" type="noConversion"/>
  </si>
  <si>
    <t>天数</t>
    <phoneticPr fontId="1" type="noConversion"/>
  </si>
  <si>
    <t>最大上料罐数</t>
    <phoneticPr fontId="1" type="noConversion"/>
  </si>
  <si>
    <t>FROM</t>
    <phoneticPr fontId="1" type="noConversion"/>
  </si>
  <si>
    <t>To</t>
    <phoneticPr fontId="1" type="noConversion"/>
  </si>
  <si>
    <t>G101</t>
  </si>
  <si>
    <t>G109</t>
  </si>
  <si>
    <t>CDU1</t>
  </si>
  <si>
    <t>No.</t>
    <phoneticPr fontId="1" type="noConversion"/>
  </si>
  <si>
    <t>大港至原油罐区</t>
    <phoneticPr fontId="1" type="noConversion"/>
  </si>
  <si>
    <t>启用</t>
    <phoneticPr fontId="1" type="noConversion"/>
  </si>
  <si>
    <t>MaxIn</t>
    <phoneticPr fontId="1" type="noConversion"/>
  </si>
  <si>
    <t>MaxOut</t>
    <phoneticPr fontId="1" type="noConversion"/>
  </si>
  <si>
    <t>G181</t>
    <phoneticPr fontId="1" type="noConversion"/>
  </si>
  <si>
    <t>流速下限
[m³/h]</t>
    <phoneticPr fontId="1" type="noConversion"/>
  </si>
  <si>
    <t>流速上限
[m³/h]</t>
    <phoneticPr fontId="1" type="noConversion"/>
  </si>
  <si>
    <t>安全液位L
[m]</t>
    <phoneticPr fontId="1" type="noConversion"/>
  </si>
  <si>
    <t>安全液位U
[m]</t>
    <phoneticPr fontId="1" type="noConversion"/>
  </si>
  <si>
    <t>安全罐容L
[m³]</t>
    <phoneticPr fontId="1" type="noConversion"/>
  </si>
  <si>
    <t>同进
同出</t>
    <phoneticPr fontId="1" type="noConversion"/>
  </si>
  <si>
    <t>安全罐容U
[m³]</t>
    <phoneticPr fontId="1" type="noConversion"/>
  </si>
  <si>
    <t>公称容量
[m³]</t>
    <phoneticPr fontId="1" type="noConversion"/>
  </si>
  <si>
    <t>收罐</t>
    <phoneticPr fontId="1" type="noConversion"/>
  </si>
  <si>
    <t>密度</t>
    <phoneticPr fontId="1" type="noConversion"/>
  </si>
  <si>
    <t>加工量L
[吨/天]</t>
    <phoneticPr fontId="1" type="noConversion"/>
  </si>
  <si>
    <t>加工量U
[吨/天]</t>
    <phoneticPr fontId="1" type="noConversion"/>
  </si>
  <si>
    <t>收油后静置
[小时]</t>
    <phoneticPr fontId="1" type="noConversion"/>
  </si>
  <si>
    <t>类型</t>
    <phoneticPr fontId="1" type="noConversion"/>
  </si>
  <si>
    <t>WD</t>
    <phoneticPr fontId="1" type="noConversion"/>
  </si>
  <si>
    <t>WU</t>
    <phoneticPr fontId="1" type="noConversion"/>
  </si>
  <si>
    <t>时间段数</t>
    <phoneticPr fontId="1" type="noConversion"/>
  </si>
  <si>
    <t>调整
？</t>
    <phoneticPr fontId="1" type="noConversion"/>
  </si>
  <si>
    <t>开始时间</t>
    <phoneticPr fontId="1" type="noConversion"/>
  </si>
  <si>
    <t>结束时间</t>
    <phoneticPr fontId="1" type="noConversion"/>
  </si>
  <si>
    <t>V1</t>
    <phoneticPr fontId="1" type="noConversion"/>
  </si>
  <si>
    <t>C1</t>
    <phoneticPr fontId="1" type="noConversion"/>
  </si>
  <si>
    <t>开始时间</t>
    <phoneticPr fontId="1" type="noConversion"/>
  </si>
  <si>
    <t>检尺总高
[m]</t>
    <phoneticPr fontId="1" type="noConversion"/>
  </si>
  <si>
    <t>初始液位
[m]</t>
    <phoneticPr fontId="1" type="noConversion"/>
  </si>
  <si>
    <t>原油</t>
    <phoneticPr fontId="1" type="noConversion"/>
  </si>
  <si>
    <t>加工毛利
[元/吨]</t>
    <phoneticPr fontId="1" type="noConversion"/>
  </si>
  <si>
    <t>调度编号</t>
    <phoneticPr fontId="1" type="noConversion"/>
  </si>
  <si>
    <t>201706010701</t>
  </si>
  <si>
    <t>V1</t>
    <phoneticPr fontId="1" type="noConversion"/>
  </si>
  <si>
    <t>V2</t>
  </si>
  <si>
    <t>V3</t>
  </si>
  <si>
    <t>A</t>
    <phoneticPr fontId="1" type="noConversion"/>
  </si>
  <si>
    <t>B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</si>
  <si>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</si>
  <si>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</si>
  <si>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</si>
  <si>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</si>
  <si>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</si>
  <si>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</si>
  <si>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硫含量L
[%]</t>
    <phoneticPr fontId="1" type="noConversion"/>
  </si>
  <si>
    <t>硫含量U
[%]</t>
    <phoneticPr fontId="1" type="noConversion"/>
  </si>
  <si>
    <t>酸值L</t>
    <phoneticPr fontId="1" type="noConversion"/>
  </si>
  <si>
    <t>酸值U</t>
    <phoneticPr fontId="1" type="noConversion"/>
  </si>
  <si>
    <t>A</t>
    <phoneticPr fontId="1" type="noConversion"/>
  </si>
  <si>
    <t>罐存</t>
    <phoneticPr fontId="1" type="noConversion"/>
  </si>
  <si>
    <t>B</t>
    <phoneticPr fontId="1" type="noConversion"/>
  </si>
  <si>
    <t>A:B</t>
    <phoneticPr fontId="1" type="noConversion"/>
  </si>
  <si>
    <t>0.5:0.5</t>
    <phoneticPr fontId="1" type="noConversion"/>
  </si>
  <si>
    <t>密度</t>
    <phoneticPr fontId="1" type="noConversion"/>
  </si>
  <si>
    <t>比例</t>
    <phoneticPr fontId="1" type="noConversion"/>
  </si>
  <si>
    <t>进料操作</t>
    <phoneticPr fontId="1" type="noConversion"/>
  </si>
  <si>
    <t>1*3</t>
    <phoneticPr fontId="1" type="noConversion"/>
  </si>
  <si>
    <t>BL</t>
    <phoneticPr fontId="1" type="noConversion"/>
  </si>
  <si>
    <t>TL</t>
    <phoneticPr fontId="1" type="noConversion"/>
  </si>
  <si>
    <t>V1</t>
    <phoneticPr fontId="1" type="noConversion"/>
  </si>
  <si>
    <t>TL</t>
    <phoneticPr fontId="1" type="noConversion"/>
  </si>
  <si>
    <t>WT</t>
  </si>
  <si>
    <t>单次量L
[万吨]</t>
    <phoneticPr fontId="1" type="noConversion"/>
  </si>
  <si>
    <t>单次量U
[万吨]</t>
    <phoneticPr fontId="1" type="noConversion"/>
  </si>
  <si>
    <t>流量L
[万吨/天]</t>
    <phoneticPr fontId="1" type="noConversion"/>
  </si>
  <si>
    <t>流量U
[万吨/天]</t>
    <phoneticPr fontId="1" type="noConversion"/>
  </si>
  <si>
    <t>最小操作时长
[天]</t>
    <phoneticPr fontId="1" type="noConversion"/>
  </si>
  <si>
    <t>操作</t>
    <phoneticPr fontId="1" type="noConversion"/>
  </si>
  <si>
    <t>L</t>
    <phoneticPr fontId="1" type="noConversion"/>
  </si>
  <si>
    <t>U</t>
    <phoneticPr fontId="1" type="noConversion"/>
  </si>
  <si>
    <t>iCD</t>
    <phoneticPr fontId="1" type="noConversion"/>
  </si>
  <si>
    <t>iCDT1</t>
    <phoneticPr fontId="1" type="noConversion"/>
  </si>
  <si>
    <t>iCDT</t>
    <phoneticPr fontId="1" type="noConversion"/>
  </si>
  <si>
    <t>1-3</t>
    <phoneticPr fontId="1" type="noConversion"/>
  </si>
  <si>
    <t>1*3</t>
    <phoneticPr fontId="1" type="noConversion"/>
  </si>
  <si>
    <t>7-10</t>
    <phoneticPr fontId="1" type="noConversion"/>
  </si>
  <si>
    <t>7*10</t>
    <phoneticPr fontId="1" type="noConversion"/>
  </si>
  <si>
    <t>INF</t>
    <phoneticPr fontId="1" type="noConversion"/>
  </si>
  <si>
    <t>4-6</t>
    <phoneticPr fontId="1" type="noConversion"/>
  </si>
  <si>
    <t>4*6</t>
    <phoneticPr fontId="1" type="noConversion"/>
  </si>
  <si>
    <t>6</t>
    <phoneticPr fontId="1" type="noConversion"/>
  </si>
  <si>
    <t>7-10</t>
    <phoneticPr fontId="1" type="noConversion"/>
  </si>
  <si>
    <t>7*10</t>
    <phoneticPr fontId="1" type="noConversion"/>
  </si>
  <si>
    <t>11-14</t>
    <phoneticPr fontId="1" type="noConversion"/>
  </si>
  <si>
    <t>11*14</t>
    <phoneticPr fontId="1" type="noConversion"/>
  </si>
  <si>
    <t>0</t>
    <phoneticPr fontId="1" type="noConversion"/>
  </si>
  <si>
    <t>0</t>
    <phoneticPr fontId="1" type="noConversion"/>
  </si>
  <si>
    <t>1</t>
    <phoneticPr fontId="1" type="noConversion"/>
  </si>
  <si>
    <t>16</t>
    <phoneticPr fontId="1" type="noConversion"/>
  </si>
  <si>
    <t>17</t>
    <phoneticPr fontId="1" type="noConversion"/>
  </si>
  <si>
    <t>2</t>
    <phoneticPr fontId="1" type="noConversion"/>
  </si>
  <si>
    <t>3</t>
    <phoneticPr fontId="1" type="noConversion"/>
  </si>
  <si>
    <t>15</t>
    <phoneticPr fontId="1" type="noConversion"/>
  </si>
  <si>
    <t>Op</t>
    <phoneticPr fontId="1" type="noConversion"/>
  </si>
  <si>
    <t>剩余时长
[天]</t>
    <phoneticPr fontId="1" type="noConversion"/>
  </si>
  <si>
    <t>调和最小路数</t>
    <phoneticPr fontId="1" type="noConversion"/>
  </si>
  <si>
    <t>调合最大路数</t>
    <phoneticPr fontId="1" type="noConversion"/>
  </si>
  <si>
    <t>G102</t>
    <phoneticPr fontId="1" type="noConversion"/>
  </si>
  <si>
    <t>G109</t>
    <phoneticPr fontId="1" type="noConversion"/>
  </si>
  <si>
    <t>1002</t>
  </si>
  <si>
    <t>检修</t>
    <phoneticPr fontId="1" type="noConversion"/>
  </si>
  <si>
    <t>相斥操作</t>
    <phoneticPr fontId="1" type="noConversion"/>
  </si>
  <si>
    <t>4,5,6,7,8,9,10</t>
    <phoneticPr fontId="1" type="noConversion"/>
  </si>
  <si>
    <t>生效</t>
    <phoneticPr fontId="1" type="noConversion"/>
  </si>
  <si>
    <t>BL</t>
    <phoneticPr fontId="1" type="noConversion"/>
  </si>
  <si>
    <t>总加工量L[吨]</t>
  </si>
  <si>
    <t>总加工量U[吨]</t>
  </si>
  <si>
    <t>剩余量
[吨]</t>
    <phoneticPr fontId="1" type="noConversion"/>
  </si>
  <si>
    <t>量
[吨]</t>
    <phoneticPr fontId="1" type="noConversion"/>
  </si>
  <si>
    <t>1001</t>
    <phoneticPr fontId="1" type="noConversion"/>
  </si>
  <si>
    <t>时间约束</t>
    <phoneticPr fontId="1" type="noConversion"/>
  </si>
  <si>
    <t>Fixed</t>
    <phoneticPr fontId="1" type="noConversion"/>
  </si>
  <si>
    <t>Range</t>
    <phoneticPr fontId="1" type="noConversion"/>
  </si>
  <si>
    <t>类型</t>
    <phoneticPr fontId="1" type="noConversion"/>
  </si>
  <si>
    <t>分储分炼：加工火车、汽车油</t>
    <phoneticPr fontId="1" type="noConversion"/>
  </si>
  <si>
    <t>1003</t>
  </si>
  <si>
    <t>1004</t>
  </si>
  <si>
    <t>1005</t>
  </si>
  <si>
    <t>1006</t>
  </si>
  <si>
    <t>设备</t>
    <phoneticPr fontId="1" type="noConversion"/>
  </si>
  <si>
    <t>G184</t>
    <phoneticPr fontId="1" type="noConversion"/>
  </si>
  <si>
    <t>G183</t>
    <phoneticPr fontId="1" type="noConversion"/>
  </si>
  <si>
    <t>G182</t>
    <phoneticPr fontId="1" type="noConversion"/>
  </si>
  <si>
    <t>G181</t>
    <phoneticPr fontId="1" type="noConversion"/>
  </si>
  <si>
    <t>V2</t>
    <phoneticPr fontId="1" type="noConversion"/>
  </si>
  <si>
    <t>V1</t>
    <phoneticPr fontId="1" type="noConversion"/>
  </si>
  <si>
    <t>类型</t>
    <phoneticPr fontId="1" type="noConversion"/>
  </si>
  <si>
    <t>CDU</t>
    <phoneticPr fontId="1" type="noConversion"/>
  </si>
  <si>
    <t>Tank</t>
    <phoneticPr fontId="1" type="noConversion"/>
  </si>
  <si>
    <t>甘特图Y坐标</t>
    <phoneticPr fontId="1" type="noConversion"/>
  </si>
  <si>
    <t>Tank</t>
    <phoneticPr fontId="1" type="noConversion"/>
  </si>
  <si>
    <t>ylowb</t>
    <phoneticPr fontId="1" type="noConversion"/>
  </si>
  <si>
    <t>yupb</t>
    <phoneticPr fontId="1" type="noConversion"/>
  </si>
  <si>
    <t>G181</t>
    <phoneticPr fontId="1" type="noConversion"/>
  </si>
  <si>
    <t>G182</t>
    <phoneticPr fontId="1" type="noConversion"/>
  </si>
  <si>
    <t>G101</t>
    <phoneticPr fontId="1" type="noConversion"/>
  </si>
  <si>
    <t>G183</t>
    <phoneticPr fontId="1" type="noConversion"/>
  </si>
  <si>
    <t>G184</t>
    <phoneticPr fontId="1" type="noConversion"/>
  </si>
  <si>
    <t>G102</t>
    <phoneticPr fontId="1" type="noConversion"/>
  </si>
  <si>
    <t>G109</t>
    <phoneticPr fontId="1" type="noConversion"/>
  </si>
  <si>
    <t>CDU</t>
    <phoneticPr fontId="1" type="noConversion"/>
  </si>
  <si>
    <t>K</t>
    <phoneticPr fontId="1" type="noConversion"/>
  </si>
  <si>
    <t>K1</t>
    <phoneticPr fontId="1" type="noConversion"/>
  </si>
  <si>
    <t>K2</t>
    <phoneticPr fontId="1" type="noConversion"/>
  </si>
  <si>
    <t>CDU1</t>
    <phoneticPr fontId="1" type="noConversion"/>
  </si>
  <si>
    <t>ylowb</t>
    <phoneticPr fontId="1" type="noConversion"/>
  </si>
  <si>
    <t>yupb</t>
    <phoneticPr fontId="1" type="noConversion"/>
  </si>
  <si>
    <t>常减压</t>
    <phoneticPr fontId="1" type="noConversion"/>
  </si>
  <si>
    <t>CB1</t>
    <phoneticPr fontId="1" type="noConversion"/>
  </si>
  <si>
    <t>CDU1</t>
    <phoneticPr fontId="1" type="noConversion"/>
  </si>
  <si>
    <t>方案1</t>
    <phoneticPr fontId="1" type="noConversion"/>
  </si>
  <si>
    <t>CB2</t>
    <phoneticPr fontId="1" type="noConversion"/>
  </si>
  <si>
    <t>CDU2</t>
    <phoneticPr fontId="1" type="noConversion"/>
  </si>
  <si>
    <t>方案2</t>
    <phoneticPr fontId="1" type="noConversion"/>
  </si>
  <si>
    <t>K1</t>
    <phoneticPr fontId="1" type="noConversion"/>
  </si>
  <si>
    <t>K2</t>
  </si>
  <si>
    <t>酸值</t>
  </si>
  <si>
    <t>Min</t>
    <phoneticPr fontId="1" type="noConversion"/>
  </si>
  <si>
    <t>Max</t>
    <phoneticPr fontId="1" type="noConversion"/>
  </si>
  <si>
    <t>硫含量 %</t>
    <phoneticPr fontId="1" type="noConversion"/>
  </si>
  <si>
    <t>总量
吨</t>
    <phoneticPr fontId="1" type="noConversion"/>
  </si>
  <si>
    <t>加工量
[吨/天]</t>
    <phoneticPr fontId="1" type="noConversion"/>
  </si>
  <si>
    <t>加工量
[吨/天]</t>
    <phoneticPr fontId="1" type="noConversion"/>
  </si>
  <si>
    <t>下限惩罚因子</t>
    <phoneticPr fontId="1" type="noConversion"/>
  </si>
  <si>
    <t>上限惩罚因子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</si>
</sst>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yyyy\-mm\-dd\ hh:mm"/>
    <numFmt numFmtId="177" formatCode="0.000_ ;[Red]\-0.000\ "/>
    <numFmt numFmtId="178" formatCode="0.00_ "/>
    <numFmt numFmtId="179" formatCode="0_ "/>
    <numFmt numFmtId="180" formatCode="0;0;;@"/>
    <numFmt numFmtId="181" formatCode=";;;@"/>
  </numFmts>
  <fonts count="9" x14ac:knownFonts="1">
    <font>
      <sz val="10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</font>
    <font>
      <sz val="10"/>
      <color rgb="FF0000FF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rgb="FF0000FF"/>
      <name val="宋体"/>
      <family val="3"/>
      <charset val="134"/>
      <scheme val="minor"/>
    </font>
    <font>
      <sz val="9"/>
      <color indexed="81"/>
      <name val="宋体"/>
      <charset val="134"/>
    </font>
    <font>
      <b/>
      <sz val="9"/>
      <color indexed="81"/>
      <name val="宋体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49" fontId="0" fillId="0" borderId="1" xfId="0" applyNumberFormat="1" applyBorder="1">
      <alignment vertical="center"/>
    </xf>
    <xf numFmtId="0" fontId="0" fillId="3" borderId="1" xfId="0" applyFill="1" applyBorder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1" xfId="0" quotePrefix="1" applyNumberFormat="1" applyBorder="1">
      <alignment vertical="center"/>
    </xf>
    <xf numFmtId="177" fontId="0" fillId="3" borderId="1" xfId="0" applyNumberFormat="1" applyFill="1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4" borderId="1" xfId="0" quotePrefix="1" applyFill="1" applyBorder="1">
      <alignment vertical="center"/>
    </xf>
    <xf numFmtId="0" fontId="0" fillId="2" borderId="3" xfId="0" applyFill="1" applyBorder="1" applyAlignment="1">
      <alignment horizontal="center" vertical="center" wrapText="1"/>
    </xf>
    <xf numFmtId="0" fontId="0" fillId="0" borderId="1" xfId="0" applyNumberFormat="1" applyBorder="1">
      <alignment vertical="center"/>
    </xf>
    <xf numFmtId="0" fontId="3" fillId="0" borderId="0" xfId="0" applyFont="1">
      <alignment vertical="center"/>
    </xf>
    <xf numFmtId="176" fontId="3" fillId="0" borderId="1" xfId="0" applyNumberFormat="1" applyFont="1" applyBorder="1">
      <alignment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176" fontId="6" fillId="0" borderId="1" xfId="0" applyNumberFormat="1" applyFont="1" applyBorder="1">
      <alignment vertical="center"/>
    </xf>
    <xf numFmtId="0" fontId="3" fillId="0" borderId="1" xfId="0" applyFont="1" applyFill="1" applyBorder="1">
      <alignment vertical="center"/>
    </xf>
    <xf numFmtId="178" fontId="0" fillId="3" borderId="1" xfId="0" applyNumberFormat="1" applyFill="1" applyBorder="1">
      <alignment vertical="center"/>
    </xf>
    <xf numFmtId="0" fontId="0" fillId="2" borderId="1" xfId="0" applyFill="1" applyBorder="1">
      <alignment vertical="center"/>
    </xf>
    <xf numFmtId="0" fontId="3" fillId="0" borderId="1" xfId="0" quotePrefix="1" applyFont="1" applyFill="1" applyBorder="1">
      <alignment vertical="center"/>
    </xf>
    <xf numFmtId="0" fontId="6" fillId="0" borderId="1" xfId="0" applyFont="1" applyFill="1" applyBorder="1">
      <alignment vertical="center"/>
    </xf>
    <xf numFmtId="0" fontId="6" fillId="4" borderId="1" xfId="0" quotePrefix="1" applyFont="1" applyFill="1" applyBorder="1">
      <alignment vertical="center"/>
    </xf>
    <xf numFmtId="179" fontId="6" fillId="4" borderId="1" xfId="0" quotePrefix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5" borderId="1" xfId="0" applyNumberFormat="1" applyFill="1" applyBorder="1">
      <alignment vertical="center"/>
    </xf>
    <xf numFmtId="0" fontId="0" fillId="5" borderId="1" xfId="0" applyFill="1" applyBorder="1">
      <alignment vertical="center"/>
    </xf>
    <xf numFmtId="0" fontId="6" fillId="0" borderId="0" xfId="0" applyFo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180" fontId="0" fillId="2" borderId="1" xfId="0" applyNumberFormat="1" applyFill="1" applyBorder="1" applyAlignment="1">
      <alignment horizontal="center" vertical="center" wrapText="1"/>
    </xf>
    <xf numFmtId="181" fontId="0" fillId="2" borderId="1" xfId="0" applyNumberFormat="1" applyFill="1" applyBorder="1" applyAlignment="1">
      <alignment horizontal="center" vertical="center" wrapText="1"/>
    </xf>
    <xf numFmtId="181" fontId="0" fillId="2" borderId="4" xfId="0" applyNumberFormat="1" applyFill="1" applyBorder="1" applyAlignment="1">
      <alignment horizontal="center" vertical="center" wrapText="1"/>
    </xf>
    <xf numFmtId="181" fontId="0" fillId="2" borderId="5" xfId="0" applyNumberForma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>
      <selection activeCell="C9" sqref="C9"/>
    </sheetView>
  </sheetViews>
  <sheetFormatPr defaultRowHeight="12" x14ac:dyDescent="0.15"/>
  <cols>
    <col min="1" max="1" width="19.85546875" customWidth="1"/>
    <col min="2" max="2" width="17.28515625" customWidth="1"/>
    <col min="3" max="3" width="19.85546875" customWidth="1"/>
  </cols>
  <sheetData>
    <row r="1" spans="1:5" ht="21.75" customHeight="1" x14ac:dyDescent="0.15">
      <c r="A1" s="1" t="s">
        <v>74</v>
      </c>
      <c r="B1" s="1" t="s">
        <v>69</v>
      </c>
      <c r="C1" s="1" t="s">
        <v>23</v>
      </c>
      <c r="D1" s="1" t="s">
        <v>34</v>
      </c>
      <c r="E1" s="1" t="s">
        <v>63</v>
      </c>
    </row>
    <row r="2" spans="1:5" ht="13.5" customHeight="1" x14ac:dyDescent="0.15">
      <c r="A2" s="22" t="s">
        <v>75</v>
      </c>
      <c r="B2" s="20">
        <v>42887.333333333336</v>
      </c>
      <c r="C2" s="20">
        <v>42894.333333333336</v>
      </c>
      <c r="D2" s="37">
        <f>C2-B2</f>
        <v>7</v>
      </c>
      <c r="E2" s="21">
        <v>10</v>
      </c>
    </row>
    <row r="3" spans="1:5" ht="13.5" customHeight="1" x14ac:dyDescent="0.15"/>
    <row r="4" spans="1:5" ht="13.5" customHeight="1" x14ac:dyDescent="0.15">
      <c r="A4" s="10" t="s">
        <v>138</v>
      </c>
      <c r="B4" s="21">
        <v>2</v>
      </c>
    </row>
    <row r="5" spans="1:5" ht="13.5" customHeight="1" x14ac:dyDescent="0.15">
      <c r="A5" s="10" t="s">
        <v>139</v>
      </c>
      <c r="B5" s="21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workbookViewId="0">
      <selection activeCell="L13" sqref="L13"/>
    </sheetView>
  </sheetViews>
  <sheetFormatPr defaultRowHeight="12" x14ac:dyDescent="0.15"/>
  <cols>
    <col min="2" max="2" width="18.42578125" customWidth="1"/>
    <col min="3" max="3" width="17.85546875" customWidth="1"/>
    <col min="15" max="15" width="10.42578125" customWidth="1"/>
  </cols>
  <sheetData>
    <row r="1" spans="1:16" ht="24" x14ac:dyDescent="0.15">
      <c r="A1" s="1" t="s">
        <v>20</v>
      </c>
      <c r="B1" s="1" t="s">
        <v>28</v>
      </c>
      <c r="C1" s="2" t="s">
        <v>29</v>
      </c>
      <c r="D1" s="1" t="s">
        <v>21</v>
      </c>
      <c r="E1" s="2" t="s">
        <v>24</v>
      </c>
      <c r="F1" s="2" t="s">
        <v>25</v>
      </c>
      <c r="G1" s="2" t="s">
        <v>26</v>
      </c>
      <c r="H1" s="2" t="s">
        <v>27</v>
      </c>
      <c r="I1" s="2" t="s">
        <v>56</v>
      </c>
      <c r="O1" s="1" t="s">
        <v>28</v>
      </c>
      <c r="P1" s="2" t="s">
        <v>29</v>
      </c>
    </row>
    <row r="2" spans="1:16" x14ac:dyDescent="0.15">
      <c r="A2" s="3" t="s">
        <v>67</v>
      </c>
      <c r="B2" s="8">
        <v>42888.666666666664</v>
      </c>
      <c r="C2" s="8">
        <v>42893.666666666664</v>
      </c>
      <c r="D2" s="3" t="s">
        <v>68</v>
      </c>
      <c r="E2" s="3"/>
      <c r="F2" s="3"/>
      <c r="G2" s="3"/>
      <c r="H2" s="3"/>
      <c r="I2" s="3"/>
      <c r="O2" s="11">
        <f>B2-Settings!$B$2</f>
        <v>1.3333333333284827</v>
      </c>
      <c r="P2" s="11">
        <f>C2-Settings!$B$2</f>
        <v>6.3333333333284827</v>
      </c>
    </row>
    <row r="3" spans="1:16" x14ac:dyDescent="0.15">
      <c r="A3" s="3"/>
      <c r="B3" s="3"/>
      <c r="C3" s="3"/>
      <c r="D3" s="3"/>
      <c r="E3" s="3"/>
      <c r="F3" s="3"/>
      <c r="G3" s="3"/>
      <c r="H3" s="3"/>
      <c r="I3" s="3"/>
    </row>
    <row r="4" spans="1:16" x14ac:dyDescent="0.15">
      <c r="A4" s="3"/>
      <c r="B4" s="3"/>
      <c r="C4" s="3"/>
      <c r="D4" s="3"/>
      <c r="E4" s="3"/>
      <c r="F4" s="3"/>
      <c r="G4" s="3"/>
      <c r="H4" s="3"/>
      <c r="I4" s="3"/>
    </row>
    <row r="5" spans="1:16" x14ac:dyDescent="0.15">
      <c r="A5" s="3"/>
      <c r="B5" s="3"/>
      <c r="C5" s="3"/>
      <c r="D5" s="3"/>
      <c r="E5" s="3"/>
      <c r="F5" s="3"/>
      <c r="G5" s="3"/>
      <c r="H5" s="3"/>
      <c r="I5" s="3"/>
    </row>
    <row r="6" spans="1:16" x14ac:dyDescent="0.15">
      <c r="A6" s="3"/>
      <c r="B6" s="3"/>
      <c r="C6" s="3"/>
      <c r="D6" s="3"/>
      <c r="E6" s="3"/>
      <c r="F6" s="3"/>
      <c r="G6" s="3"/>
      <c r="H6" s="3"/>
      <c r="I6" s="3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"/>
  <sheetViews>
    <sheetView workbookViewId="0">
      <selection activeCell="F12" sqref="F12"/>
    </sheetView>
  </sheetViews>
  <sheetFormatPr defaultRowHeight="12" x14ac:dyDescent="0.15"/>
  <cols>
    <col min="5" max="5" width="20.28515625" customWidth="1"/>
    <col min="6" max="6" width="19" customWidth="1"/>
  </cols>
  <sheetData>
    <row r="1" spans="1:16" ht="24.75" customHeight="1" x14ac:dyDescent="0.15">
      <c r="A1" s="5" t="s">
        <v>20</v>
      </c>
      <c r="B1" s="5" t="s">
        <v>21</v>
      </c>
      <c r="C1" s="1" t="s">
        <v>97</v>
      </c>
      <c r="D1" s="6" t="s">
        <v>24</v>
      </c>
      <c r="E1" s="5" t="s">
        <v>22</v>
      </c>
      <c r="F1" s="6" t="s">
        <v>23</v>
      </c>
      <c r="G1" s="6" t="s">
        <v>55</v>
      </c>
      <c r="H1" s="6" t="s">
        <v>25</v>
      </c>
      <c r="I1" s="6" t="s">
        <v>26</v>
      </c>
      <c r="J1" s="6" t="s">
        <v>27</v>
      </c>
      <c r="K1" s="2" t="s">
        <v>56</v>
      </c>
      <c r="O1" s="5" t="s">
        <v>22</v>
      </c>
      <c r="P1" s="6" t="s">
        <v>23</v>
      </c>
    </row>
    <row r="2" spans="1:16" x14ac:dyDescent="0.15">
      <c r="A2" s="3" t="s">
        <v>76</v>
      </c>
      <c r="B2" s="23" t="s">
        <v>79</v>
      </c>
      <c r="C2" s="24">
        <v>1</v>
      </c>
      <c r="D2" s="25">
        <v>30000</v>
      </c>
      <c r="E2" s="26">
        <v>42889.333333333336</v>
      </c>
      <c r="F2" s="26">
        <f>E2+1.875</f>
        <v>42891.208333333336</v>
      </c>
      <c r="G2" s="3"/>
      <c r="H2" s="3"/>
      <c r="I2" s="3"/>
      <c r="J2" s="3"/>
      <c r="K2" s="3"/>
      <c r="O2" s="36">
        <f>E2-Settings!$B$2</f>
        <v>2</v>
      </c>
      <c r="P2" s="36">
        <f>F2-Settings!$B$2</f>
        <v>3.875</v>
      </c>
    </row>
    <row r="3" spans="1:16" x14ac:dyDescent="0.15">
      <c r="A3" s="3" t="s">
        <v>77</v>
      </c>
      <c r="B3" s="24" t="s">
        <v>80</v>
      </c>
      <c r="C3" s="24">
        <v>1</v>
      </c>
      <c r="D3" s="25">
        <v>26000</v>
      </c>
      <c r="E3" s="26">
        <v>42891.333333333336</v>
      </c>
      <c r="F3" s="26">
        <f>E3+1.625</f>
        <v>42892.958333333336</v>
      </c>
      <c r="G3" s="3"/>
      <c r="H3" s="3"/>
      <c r="I3" s="3"/>
      <c r="J3" s="3"/>
      <c r="K3" s="3"/>
      <c r="O3" s="36">
        <f>E3-Settings!$B$2</f>
        <v>4</v>
      </c>
      <c r="P3" s="36">
        <f>F3-Settings!$B$2</f>
        <v>5.625</v>
      </c>
    </row>
    <row r="4" spans="1:16" x14ac:dyDescent="0.15">
      <c r="A4" s="3" t="s">
        <v>78</v>
      </c>
      <c r="B4" s="24" t="s">
        <v>81</v>
      </c>
      <c r="C4" s="24">
        <v>1</v>
      </c>
      <c r="D4" s="25">
        <v>0</v>
      </c>
      <c r="E4" s="26">
        <v>42893.333333333336</v>
      </c>
      <c r="F4" s="26">
        <f>E4+1</f>
        <v>42894.333333333336</v>
      </c>
      <c r="G4" s="3"/>
      <c r="H4" s="3"/>
      <c r="I4" s="3"/>
      <c r="J4" s="3"/>
      <c r="K4" s="3"/>
      <c r="O4" s="36">
        <f>E4-Settings!$B$2</f>
        <v>6</v>
      </c>
      <c r="P4" s="36">
        <f>F4-Settings!$B$2</f>
        <v>7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2"/>
  <sheetViews>
    <sheetView workbookViewId="0">
      <selection activeCell="G12" sqref="G12"/>
    </sheetView>
  </sheetViews>
  <sheetFormatPr defaultRowHeight="12" x14ac:dyDescent="0.15"/>
  <cols>
    <col min="4" max="4" width="8.140625" customWidth="1"/>
    <col min="5" max="5" width="8.42578125" customWidth="1"/>
    <col min="6" max="7" width="18.7109375" bestFit="1" customWidth="1"/>
    <col min="8" max="8" width="13.28515625" customWidth="1"/>
    <col min="9" max="9" width="9.7109375" bestFit="1" customWidth="1"/>
  </cols>
  <sheetData>
    <row r="1" spans="1:16" ht="25.5" customHeight="1" x14ac:dyDescent="0.15">
      <c r="A1" s="1" t="s">
        <v>41</v>
      </c>
      <c r="B1" s="1" t="s">
        <v>136</v>
      </c>
      <c r="C1" s="1" t="s">
        <v>36</v>
      </c>
      <c r="D1" s="1" t="s">
        <v>37</v>
      </c>
      <c r="E1" s="6" t="s">
        <v>24</v>
      </c>
      <c r="F1" s="1" t="s">
        <v>65</v>
      </c>
      <c r="G1" s="1" t="s">
        <v>66</v>
      </c>
      <c r="H1" s="2" t="s">
        <v>137</v>
      </c>
      <c r="I1" s="2" t="s">
        <v>150</v>
      </c>
      <c r="J1" s="2" t="s">
        <v>64</v>
      </c>
      <c r="O1" s="5" t="s">
        <v>22</v>
      </c>
      <c r="P1" s="6" t="s">
        <v>23</v>
      </c>
    </row>
    <row r="2" spans="1:16" x14ac:dyDescent="0.15">
      <c r="A2" s="3">
        <v>1</v>
      </c>
      <c r="B2" s="30" t="s">
        <v>133</v>
      </c>
      <c r="C2" s="31" t="s">
        <v>140</v>
      </c>
      <c r="D2" s="31" t="s">
        <v>40</v>
      </c>
      <c r="E2" s="27">
        <v>10000</v>
      </c>
      <c r="F2" s="20">
        <f>G2-E2/8000</f>
        <v>42886.208333333336</v>
      </c>
      <c r="G2" s="20">
        <v>42887.458333333336</v>
      </c>
      <c r="H2" s="14">
        <f>G2-Settings!$B$2</f>
        <v>0.125</v>
      </c>
      <c r="I2" s="28">
        <f>H2*E2/(G2-F2)</f>
        <v>1000</v>
      </c>
      <c r="J2" s="7">
        <v>0</v>
      </c>
      <c r="O2" s="36">
        <f>F2-Settings!$B$2</f>
        <v>-1.125</v>
      </c>
      <c r="P2" s="36">
        <f>G2-Settings!$B$2</f>
        <v>0.125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7"/>
  <sheetViews>
    <sheetView workbookViewId="0">
      <selection activeCell="C11" sqref="C11"/>
    </sheetView>
  </sheetViews>
  <sheetFormatPr defaultRowHeight="12" x14ac:dyDescent="0.15"/>
  <cols>
    <col min="1" max="1" width="6" customWidth="1"/>
    <col min="2" max="2" width="8" customWidth="1"/>
    <col min="3" max="3" width="9.7109375" customWidth="1"/>
    <col min="4" max="4" width="8" customWidth="1"/>
    <col min="5" max="5" width="25.140625" customWidth="1"/>
    <col min="6" max="6" width="18" customWidth="1"/>
    <col min="7" max="7" width="17.28515625" customWidth="1"/>
    <col min="8" max="8" width="23.85546875" customWidth="1"/>
    <col min="9" max="10" width="7" customWidth="1"/>
    <col min="11" max="11" width="8.140625" customWidth="1"/>
    <col min="12" max="14" width="3.140625" customWidth="1"/>
    <col min="16" max="16" width="8.5703125" customWidth="1"/>
  </cols>
  <sheetData>
    <row r="1" spans="1:16" ht="24.75" customHeight="1" x14ac:dyDescent="0.15">
      <c r="A1" s="1" t="s">
        <v>41</v>
      </c>
      <c r="B1" s="1" t="s">
        <v>136</v>
      </c>
      <c r="C1" s="1" t="s">
        <v>36</v>
      </c>
      <c r="D1" s="1" t="s">
        <v>37</v>
      </c>
      <c r="E1" s="1" t="s">
        <v>156</v>
      </c>
      <c r="F1" s="1" t="s">
        <v>22</v>
      </c>
      <c r="G1" s="1" t="s">
        <v>23</v>
      </c>
      <c r="H1" s="15" t="s">
        <v>144</v>
      </c>
      <c r="I1" s="17" t="s">
        <v>151</v>
      </c>
      <c r="J1" s="1" t="s">
        <v>146</v>
      </c>
      <c r="K1" s="1" t="s">
        <v>153</v>
      </c>
      <c r="O1" s="5" t="s">
        <v>22</v>
      </c>
      <c r="P1" s="6" t="s">
        <v>23</v>
      </c>
    </row>
    <row r="2" spans="1:16" ht="14.25" customHeight="1" x14ac:dyDescent="0.15">
      <c r="A2" s="3">
        <v>1</v>
      </c>
      <c r="B2" s="16" t="s">
        <v>152</v>
      </c>
      <c r="C2" s="21" t="s">
        <v>141</v>
      </c>
      <c r="D2" s="25" t="s">
        <v>40</v>
      </c>
      <c r="E2" s="25" t="s">
        <v>157</v>
      </c>
      <c r="F2" s="26">
        <v>42888.833333333336</v>
      </c>
      <c r="G2" s="26">
        <f>F2+3.5</f>
        <v>42892.333333333336</v>
      </c>
      <c r="H2" s="25"/>
      <c r="I2" s="32">
        <v>4000</v>
      </c>
      <c r="J2" s="33">
        <v>1</v>
      </c>
      <c r="K2" s="25" t="s">
        <v>155</v>
      </c>
      <c r="O2" s="36">
        <f>F2-Settings!$B$2</f>
        <v>1.5</v>
      </c>
      <c r="P2" s="36">
        <f>G2-Settings!$B$2</f>
        <v>5</v>
      </c>
    </row>
    <row r="3" spans="1:16" ht="14.25" customHeight="1" x14ac:dyDescent="0.15">
      <c r="A3" s="3">
        <v>2</v>
      </c>
      <c r="B3" s="16" t="s">
        <v>142</v>
      </c>
      <c r="C3" s="25" t="s">
        <v>147</v>
      </c>
      <c r="D3" s="25"/>
      <c r="E3" s="25" t="s">
        <v>143</v>
      </c>
      <c r="F3" s="26">
        <v>42891.333333333336</v>
      </c>
      <c r="G3" s="26">
        <f>F3+1</f>
        <v>42892.333333333336</v>
      </c>
      <c r="H3" s="25" t="s">
        <v>145</v>
      </c>
      <c r="I3" s="32">
        <v>0</v>
      </c>
      <c r="J3" s="33">
        <v>1</v>
      </c>
      <c r="K3" s="25" t="s">
        <v>154</v>
      </c>
      <c r="O3" s="36">
        <f>F3-Settings!$B$2</f>
        <v>4</v>
      </c>
      <c r="P3" s="36">
        <f>G3-Settings!$B$2</f>
        <v>5</v>
      </c>
    </row>
    <row r="4" spans="1:16" ht="14.25" customHeight="1" x14ac:dyDescent="0.15">
      <c r="A4" s="3">
        <v>3</v>
      </c>
      <c r="B4" s="16" t="s">
        <v>158</v>
      </c>
      <c r="C4" s="25"/>
      <c r="D4" s="25"/>
      <c r="E4" s="25"/>
      <c r="F4" s="25"/>
      <c r="G4" s="25"/>
      <c r="H4" s="25"/>
      <c r="I4" s="25"/>
      <c r="J4" s="33">
        <v>0</v>
      </c>
      <c r="K4" s="25" t="s">
        <v>155</v>
      </c>
    </row>
    <row r="5" spans="1:16" ht="14.25" customHeight="1" x14ac:dyDescent="0.15">
      <c r="A5" s="3">
        <v>4</v>
      </c>
      <c r="B5" s="16" t="s">
        <v>159</v>
      </c>
      <c r="C5" s="25"/>
      <c r="D5" s="25"/>
      <c r="E5" s="25"/>
      <c r="F5" s="25"/>
      <c r="G5" s="25"/>
      <c r="H5" s="25"/>
      <c r="I5" s="25"/>
      <c r="J5" s="33">
        <v>0</v>
      </c>
      <c r="K5" s="25" t="s">
        <v>154</v>
      </c>
    </row>
    <row r="6" spans="1:16" ht="14.25" customHeight="1" x14ac:dyDescent="0.15">
      <c r="A6" s="3">
        <v>5</v>
      </c>
      <c r="B6" s="16" t="s">
        <v>160</v>
      </c>
      <c r="C6" s="25"/>
      <c r="D6" s="25"/>
      <c r="E6" s="25"/>
      <c r="F6" s="25"/>
      <c r="G6" s="25"/>
      <c r="H6" s="25"/>
      <c r="I6" s="25"/>
      <c r="J6" s="33">
        <v>0</v>
      </c>
      <c r="K6" s="25"/>
    </row>
    <row r="7" spans="1:16" ht="14.25" customHeight="1" x14ac:dyDescent="0.15">
      <c r="A7" s="3">
        <v>6</v>
      </c>
      <c r="B7" s="16" t="s">
        <v>161</v>
      </c>
      <c r="C7" s="25"/>
      <c r="D7" s="25"/>
      <c r="E7" s="25"/>
      <c r="F7" s="25"/>
      <c r="G7" s="25"/>
      <c r="H7" s="25"/>
      <c r="I7" s="25"/>
      <c r="J7" s="33">
        <v>0</v>
      </c>
      <c r="K7" s="25"/>
    </row>
  </sheetData>
  <phoneticPr fontId="1" type="noConversion"/>
  <pageMargins left="0.7" right="0.7" top="0.75" bottom="0.75" header="0.3" footer="0.3"/>
  <pageSetup paperSize="9" orientation="portrait" horizontalDpi="1200" verticalDpi="1200" r:id="rId1"/>
  <ignoredErrors>
    <ignoredError sqref="B3" numberStoredAsText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"/>
  <sheetViews>
    <sheetView workbookViewId="0">
      <selection activeCell="I37" sqref="I37"/>
    </sheetView>
  </sheetViews>
  <sheetFormatPr defaultRowHeight="12" x14ac:dyDescent="0.15"/>
  <cols>
    <col min="2" max="2" width="7.42578125" customWidth="1"/>
    <col min="13" max="13" width="8.42578125" customWidth="1"/>
    <col min="14" max="14" width="9.140625" customWidth="1"/>
  </cols>
  <sheetData>
    <row r="1" spans="1:21" ht="29.25" customHeight="1" x14ac:dyDescent="0.15">
      <c r="A1" s="2" t="s">
        <v>4</v>
      </c>
      <c r="B1" s="2" t="s">
        <v>12</v>
      </c>
      <c r="C1" s="2" t="s">
        <v>73</v>
      </c>
      <c r="D1" s="2" t="str">
        <f>PP!B2</f>
        <v>硫含量 %</v>
      </c>
      <c r="E1" s="2" t="str">
        <f>PP!B3</f>
        <v>酸值</v>
      </c>
      <c r="F1" s="44">
        <f>PP!B4</f>
        <v>0</v>
      </c>
      <c r="G1" s="44">
        <f>PP!B5</f>
        <v>0</v>
      </c>
      <c r="H1" s="44">
        <f>PP!B6</f>
        <v>0</v>
      </c>
      <c r="I1" s="44">
        <f>PP!B7</f>
        <v>0</v>
      </c>
      <c r="J1" s="44">
        <f>PP!B8</f>
        <v>0</v>
      </c>
      <c r="K1" s="44">
        <f>PP!B9</f>
        <v>0</v>
      </c>
      <c r="L1" s="44">
        <f>PP!B10</f>
        <v>0</v>
      </c>
      <c r="M1" s="44">
        <f>PP!B11</f>
        <v>0</v>
      </c>
      <c r="N1" s="42"/>
      <c r="O1" s="43">
        <f>PP!E10</f>
        <v>0</v>
      </c>
      <c r="P1" s="2"/>
      <c r="Q1" s="2"/>
      <c r="R1" s="2"/>
      <c r="S1" s="2"/>
      <c r="T1" s="2"/>
      <c r="U1" s="2"/>
    </row>
    <row r="2" spans="1:21" x14ac:dyDescent="0.15">
      <c r="A2" s="3" t="s">
        <v>79</v>
      </c>
      <c r="B2" s="3" t="s">
        <v>79</v>
      </c>
      <c r="C2" s="3">
        <v>0.1</v>
      </c>
      <c r="D2" s="3">
        <v>0.5</v>
      </c>
      <c r="E2" s="3">
        <v>1.2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 x14ac:dyDescent="0.15">
      <c r="A3" s="3" t="s">
        <v>82</v>
      </c>
      <c r="B3" s="3" t="s">
        <v>80</v>
      </c>
      <c r="C3" s="3">
        <v>0.3</v>
      </c>
      <c r="D3" s="3">
        <v>1.1000000000000001</v>
      </c>
      <c r="E3" s="3">
        <v>0.4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1" x14ac:dyDescent="0.15">
      <c r="A4" s="3" t="s">
        <v>83</v>
      </c>
      <c r="B4" s="3" t="s">
        <v>83</v>
      </c>
      <c r="C4" s="3">
        <v>0.5</v>
      </c>
      <c r="D4" s="3">
        <v>0.5</v>
      </c>
      <c r="E4" s="3">
        <v>1.2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1" x14ac:dyDescent="0.15">
      <c r="A5" s="3" t="s">
        <v>84</v>
      </c>
      <c r="B5" s="3" t="s">
        <v>84</v>
      </c>
      <c r="C5" s="3">
        <v>0.16700000000000001</v>
      </c>
      <c r="D5" s="3">
        <v>1.1000000000000001</v>
      </c>
      <c r="E5" s="3">
        <v>0.4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1" x14ac:dyDescent="0.15">
      <c r="A6" s="3" t="s">
        <v>85</v>
      </c>
      <c r="B6" s="3" t="s">
        <v>85</v>
      </c>
      <c r="C6" s="3">
        <v>0.3</v>
      </c>
      <c r="D6" s="3">
        <v>0.5</v>
      </c>
      <c r="E6" s="3">
        <v>1.2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1" x14ac:dyDescent="0.15">
      <c r="A7" s="3" t="s">
        <v>86</v>
      </c>
      <c r="B7" s="3" t="s">
        <v>86</v>
      </c>
      <c r="C7" s="3">
        <v>0.433</v>
      </c>
      <c r="D7" s="3">
        <v>1.1000000000000001</v>
      </c>
      <c r="E7" s="3">
        <v>0.4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"/>
  <sheetViews>
    <sheetView workbookViewId="0">
      <selection activeCell="L14" sqref="L14"/>
    </sheetView>
  </sheetViews>
  <sheetFormatPr defaultRowHeight="12" x14ac:dyDescent="0.15"/>
  <cols>
    <col min="2" max="2" width="8" customWidth="1"/>
    <col min="3" max="3" width="5" customWidth="1"/>
    <col min="4" max="4" width="6.42578125" customWidth="1"/>
    <col min="5" max="5" width="8.7109375" customWidth="1"/>
    <col min="6" max="6" width="9.42578125" customWidth="1"/>
    <col min="7" max="7" width="9.5703125" customWidth="1"/>
    <col min="12" max="12" width="10.28515625" customWidth="1"/>
    <col min="13" max="14" width="8.28515625" customWidth="1"/>
    <col min="15" max="15" width="14.42578125" customWidth="1"/>
    <col min="16" max="16" width="15.7109375" customWidth="1"/>
  </cols>
  <sheetData>
    <row r="1" spans="1:19" ht="25.5" customHeight="1" x14ac:dyDescent="0.15">
      <c r="A1" s="1" t="s">
        <v>5</v>
      </c>
      <c r="B1" s="1" t="s">
        <v>13</v>
      </c>
      <c r="C1" s="2" t="s">
        <v>43</v>
      </c>
      <c r="D1" s="2" t="s">
        <v>52</v>
      </c>
      <c r="E1" s="2" t="s">
        <v>70</v>
      </c>
      <c r="F1" s="2" t="s">
        <v>49</v>
      </c>
      <c r="G1" s="2" t="s">
        <v>50</v>
      </c>
      <c r="H1" s="2" t="s">
        <v>19</v>
      </c>
      <c r="I1" s="2" t="s">
        <v>51</v>
      </c>
      <c r="J1" s="2" t="s">
        <v>53</v>
      </c>
      <c r="K1" s="2" t="s">
        <v>54</v>
      </c>
      <c r="L1" s="2" t="s">
        <v>59</v>
      </c>
      <c r="M1" s="2" t="s">
        <v>71</v>
      </c>
      <c r="N1" s="2" t="s">
        <v>96</v>
      </c>
      <c r="O1" s="1" t="s">
        <v>72</v>
      </c>
      <c r="P1" s="1" t="s">
        <v>97</v>
      </c>
      <c r="Q1" s="1" t="s">
        <v>92</v>
      </c>
      <c r="R1" s="2" t="s">
        <v>51</v>
      </c>
      <c r="S1" s="2" t="s">
        <v>53</v>
      </c>
    </row>
    <row r="2" spans="1:19" x14ac:dyDescent="0.15">
      <c r="A2" t="s">
        <v>6</v>
      </c>
      <c r="B2" t="s">
        <v>14</v>
      </c>
      <c r="C2">
        <v>1</v>
      </c>
      <c r="D2">
        <v>0</v>
      </c>
      <c r="E2">
        <v>21.215</v>
      </c>
      <c r="F2">
        <v>2.5</v>
      </c>
      <c r="G2">
        <v>17</v>
      </c>
      <c r="H2">
        <v>2826</v>
      </c>
      <c r="I2">
        <f>F2*H2</f>
        <v>7065</v>
      </c>
      <c r="J2">
        <f>H2*G2</f>
        <v>48042</v>
      </c>
      <c r="K2">
        <v>50000</v>
      </c>
      <c r="L2">
        <v>6</v>
      </c>
      <c r="O2" s="34" t="s">
        <v>91</v>
      </c>
      <c r="P2" s="35">
        <v>1</v>
      </c>
      <c r="Q2" s="19">
        <v>40000</v>
      </c>
      <c r="R2">
        <v>5000</v>
      </c>
      <c r="S2">
        <v>50000</v>
      </c>
    </row>
    <row r="3" spans="1:19" x14ac:dyDescent="0.15">
      <c r="A3" t="s">
        <v>7</v>
      </c>
      <c r="B3" t="s">
        <v>14</v>
      </c>
      <c r="C3">
        <v>1</v>
      </c>
      <c r="D3">
        <v>0</v>
      </c>
      <c r="E3">
        <v>21.215</v>
      </c>
      <c r="F3">
        <v>2.5</v>
      </c>
      <c r="G3">
        <v>17</v>
      </c>
      <c r="H3">
        <v>2826</v>
      </c>
      <c r="I3">
        <f t="shared" ref="I3:I8" si="0">F3*H3</f>
        <v>7065</v>
      </c>
      <c r="J3">
        <f t="shared" ref="J3:J8" si="1">H3*G3</f>
        <v>48042</v>
      </c>
      <c r="K3">
        <v>50000</v>
      </c>
      <c r="L3">
        <v>6</v>
      </c>
      <c r="O3" s="35" t="s">
        <v>93</v>
      </c>
      <c r="P3" s="35">
        <v>1</v>
      </c>
      <c r="Q3" s="19">
        <v>40000</v>
      </c>
      <c r="R3">
        <v>5000</v>
      </c>
      <c r="S3">
        <v>50000</v>
      </c>
    </row>
    <row r="4" spans="1:19" x14ac:dyDescent="0.15">
      <c r="A4" t="s">
        <v>8</v>
      </c>
      <c r="B4" t="s">
        <v>14</v>
      </c>
      <c r="C4">
        <v>1</v>
      </c>
      <c r="D4">
        <v>0</v>
      </c>
      <c r="E4">
        <v>21.215</v>
      </c>
      <c r="F4">
        <v>2.5</v>
      </c>
      <c r="G4">
        <v>17</v>
      </c>
      <c r="H4">
        <v>2826</v>
      </c>
      <c r="I4">
        <f t="shared" si="0"/>
        <v>7065</v>
      </c>
      <c r="J4">
        <f t="shared" si="1"/>
        <v>48042</v>
      </c>
      <c r="K4">
        <v>50000</v>
      </c>
      <c r="L4">
        <v>6</v>
      </c>
      <c r="O4" s="35" t="s">
        <v>91</v>
      </c>
      <c r="P4" s="35">
        <v>1</v>
      </c>
      <c r="Q4" s="19">
        <v>10000</v>
      </c>
      <c r="R4">
        <v>5000</v>
      </c>
      <c r="S4">
        <v>50000</v>
      </c>
    </row>
    <row r="5" spans="1:19" x14ac:dyDescent="0.15">
      <c r="A5" t="s">
        <v>9</v>
      </c>
      <c r="B5" t="s">
        <v>14</v>
      </c>
      <c r="C5">
        <v>1</v>
      </c>
      <c r="D5">
        <v>0</v>
      </c>
      <c r="E5">
        <v>21.215</v>
      </c>
      <c r="F5">
        <v>2.5</v>
      </c>
      <c r="G5">
        <v>17</v>
      </c>
      <c r="H5">
        <v>2826</v>
      </c>
      <c r="I5">
        <f t="shared" si="0"/>
        <v>7065</v>
      </c>
      <c r="J5">
        <f t="shared" si="1"/>
        <v>48042</v>
      </c>
      <c r="K5">
        <v>50000</v>
      </c>
      <c r="L5">
        <v>6</v>
      </c>
      <c r="O5" s="35" t="s">
        <v>82</v>
      </c>
      <c r="P5" s="35">
        <v>1</v>
      </c>
      <c r="Q5" s="19">
        <v>10000</v>
      </c>
      <c r="R5">
        <v>5000</v>
      </c>
      <c r="S5">
        <v>50000</v>
      </c>
    </row>
    <row r="6" spans="1:19" x14ac:dyDescent="0.15">
      <c r="A6" t="s">
        <v>10</v>
      </c>
      <c r="B6" t="s">
        <v>15</v>
      </c>
      <c r="C6">
        <v>1</v>
      </c>
      <c r="D6">
        <v>0</v>
      </c>
      <c r="E6">
        <v>17.074999999999999</v>
      </c>
      <c r="F6">
        <v>2.5</v>
      </c>
      <c r="G6">
        <v>14.2</v>
      </c>
      <c r="H6">
        <v>855</v>
      </c>
      <c r="I6">
        <f t="shared" si="0"/>
        <v>2137.5</v>
      </c>
      <c r="J6">
        <f t="shared" si="1"/>
        <v>12141</v>
      </c>
      <c r="K6">
        <v>13500</v>
      </c>
      <c r="L6">
        <v>6</v>
      </c>
      <c r="O6" s="35" t="s">
        <v>94</v>
      </c>
      <c r="P6" s="35" t="s">
        <v>95</v>
      </c>
      <c r="Q6" s="19">
        <v>12000</v>
      </c>
      <c r="R6">
        <v>1300</v>
      </c>
      <c r="S6">
        <v>13000</v>
      </c>
    </row>
    <row r="7" spans="1:19" x14ac:dyDescent="0.15">
      <c r="A7" t="s">
        <v>11</v>
      </c>
      <c r="B7" t="s">
        <v>15</v>
      </c>
      <c r="C7">
        <v>1</v>
      </c>
      <c r="D7">
        <v>0</v>
      </c>
      <c r="E7">
        <v>17.074999999999999</v>
      </c>
      <c r="F7">
        <v>2.5</v>
      </c>
      <c r="G7">
        <v>14.2</v>
      </c>
      <c r="H7">
        <v>855</v>
      </c>
      <c r="I7">
        <f t="shared" si="0"/>
        <v>2137.5</v>
      </c>
      <c r="J7">
        <f t="shared" si="1"/>
        <v>12141</v>
      </c>
      <c r="K7">
        <v>13500</v>
      </c>
      <c r="L7">
        <v>6</v>
      </c>
      <c r="O7" s="35" t="s">
        <v>94</v>
      </c>
      <c r="P7" s="35" t="s">
        <v>95</v>
      </c>
      <c r="Q7" s="19">
        <v>2300</v>
      </c>
      <c r="R7">
        <v>1300</v>
      </c>
      <c r="S7">
        <v>13000</v>
      </c>
    </row>
    <row r="8" spans="1:19" x14ac:dyDescent="0.15">
      <c r="A8" t="s">
        <v>16</v>
      </c>
      <c r="B8" t="s">
        <v>15</v>
      </c>
      <c r="C8">
        <v>0</v>
      </c>
      <c r="D8">
        <v>0</v>
      </c>
      <c r="E8">
        <v>21.114999999999998</v>
      </c>
      <c r="F8">
        <v>2.5</v>
      </c>
      <c r="G8">
        <v>18</v>
      </c>
      <c r="H8">
        <v>1385</v>
      </c>
      <c r="I8">
        <f t="shared" si="0"/>
        <v>3462.5</v>
      </c>
      <c r="J8">
        <f t="shared" si="1"/>
        <v>24930</v>
      </c>
      <c r="K8">
        <v>26000</v>
      </c>
      <c r="L8">
        <v>6</v>
      </c>
      <c r="O8" s="35" t="s">
        <v>94</v>
      </c>
      <c r="P8" s="35" t="s">
        <v>95</v>
      </c>
      <c r="Q8" s="19">
        <v>25600</v>
      </c>
      <c r="R8">
        <v>2600</v>
      </c>
      <c r="S8">
        <v>26000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activeCell="I44" sqref="I44"/>
    </sheetView>
  </sheetViews>
  <sheetFormatPr defaultRowHeight="12" x14ac:dyDescent="0.15"/>
  <cols>
    <col min="11" max="11" width="10.28515625" customWidth="1"/>
  </cols>
  <sheetData>
    <row r="1" spans="1:11" ht="31.5" customHeight="1" x14ac:dyDescent="0.15">
      <c r="A1" s="1" t="s">
        <v>33</v>
      </c>
      <c r="B1" s="2" t="s">
        <v>57</v>
      </c>
      <c r="C1" s="2" t="s">
        <v>58</v>
      </c>
      <c r="D1" s="2" t="s">
        <v>35</v>
      </c>
      <c r="E1" s="2" t="s">
        <v>98</v>
      </c>
      <c r="F1" s="2" t="s">
        <v>87</v>
      </c>
      <c r="G1" s="2" t="s">
        <v>88</v>
      </c>
      <c r="H1" s="2" t="s">
        <v>89</v>
      </c>
      <c r="I1" s="2" t="s">
        <v>90</v>
      </c>
      <c r="J1" s="2" t="s">
        <v>148</v>
      </c>
      <c r="K1" s="2" t="s">
        <v>149</v>
      </c>
    </row>
    <row r="2" spans="1:11" x14ac:dyDescent="0.15">
      <c r="A2" s="3" t="s">
        <v>30</v>
      </c>
      <c r="B2" s="21">
        <v>8000</v>
      </c>
      <c r="C2" s="21">
        <v>8000</v>
      </c>
      <c r="D2" s="3">
        <v>1</v>
      </c>
      <c r="E2" s="7" t="s">
        <v>99</v>
      </c>
      <c r="F2" s="21">
        <v>0.6</v>
      </c>
      <c r="G2" s="21">
        <v>1</v>
      </c>
      <c r="H2" s="21">
        <v>0.5</v>
      </c>
      <c r="I2" s="21">
        <v>0.9</v>
      </c>
      <c r="J2" s="29">
        <f>B2*Settings!D2</f>
        <v>56000</v>
      </c>
      <c r="K2" s="29">
        <f>C2*Settings!D2</f>
        <v>56000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workbookViewId="0">
      <selection activeCell="H11" sqref="H11"/>
    </sheetView>
  </sheetViews>
  <sheetFormatPr defaultRowHeight="12" x14ac:dyDescent="0.15"/>
  <cols>
    <col min="2" max="2" width="19.140625" customWidth="1"/>
    <col min="3" max="4" width="5.7109375" bestFit="1" customWidth="1"/>
    <col min="5" max="5" width="11.85546875" bestFit="1" customWidth="1"/>
    <col min="6" max="6" width="9" customWidth="1"/>
    <col min="7" max="7" width="8.42578125" customWidth="1"/>
  </cols>
  <sheetData>
    <row r="1" spans="1:10" ht="26.25" customHeight="1" x14ac:dyDescent="0.15">
      <c r="A1" s="1" t="s">
        <v>4</v>
      </c>
      <c r="B1" s="1" t="s">
        <v>0</v>
      </c>
      <c r="C1" s="2" t="s">
        <v>1</v>
      </c>
      <c r="D1" s="2" t="s">
        <v>2</v>
      </c>
      <c r="E1" s="2" t="s">
        <v>18</v>
      </c>
      <c r="F1" s="2" t="s">
        <v>3</v>
      </c>
      <c r="G1" s="2" t="s">
        <v>47</v>
      </c>
      <c r="H1" s="2" t="s">
        <v>48</v>
      </c>
      <c r="I1" s="2" t="s">
        <v>44</v>
      </c>
      <c r="J1" s="2" t="s">
        <v>45</v>
      </c>
    </row>
    <row r="2" spans="1:10" ht="13.5" customHeight="1" x14ac:dyDescent="0.15">
      <c r="A2" s="3" t="s">
        <v>100</v>
      </c>
      <c r="B2" s="4" t="s">
        <v>17</v>
      </c>
      <c r="C2" s="3">
        <v>300</v>
      </c>
      <c r="D2" s="3">
        <v>4</v>
      </c>
      <c r="E2" s="3">
        <v>282.60000000000002</v>
      </c>
      <c r="F2" s="3"/>
      <c r="G2" s="3">
        <v>250</v>
      </c>
      <c r="H2" s="3">
        <f>444+472</f>
        <v>916</v>
      </c>
      <c r="I2" s="3">
        <v>3</v>
      </c>
      <c r="J2" s="3">
        <v>1</v>
      </c>
    </row>
    <row r="3" spans="1:10" ht="13.5" customHeight="1" x14ac:dyDescent="0.15">
      <c r="A3" s="3" t="s">
        <v>101</v>
      </c>
      <c r="B3" s="4" t="s">
        <v>42</v>
      </c>
      <c r="C3" s="3"/>
      <c r="D3" s="3"/>
      <c r="E3" s="3"/>
      <c r="F3" s="3"/>
      <c r="G3" s="3">
        <f>150*1000/24</f>
        <v>6250</v>
      </c>
      <c r="H3" s="3">
        <f>150*1000/24</f>
        <v>6250</v>
      </c>
      <c r="I3" s="3">
        <v>1</v>
      </c>
      <c r="J3" s="3">
        <v>1</v>
      </c>
    </row>
    <row r="4" spans="1:10" ht="13.5" customHeight="1" x14ac:dyDescent="0.15">
      <c r="A4" s="3"/>
      <c r="B4" s="4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15"/>
    <row r="6" spans="1:10" ht="13.5" customHeight="1" x14ac:dyDescent="0.15"/>
    <row r="7" spans="1:10" ht="13.5" customHeight="1" x14ac:dyDescent="0.15"/>
    <row r="8" spans="1:10" ht="13.5" customHeight="1" x14ac:dyDescent="0.15"/>
    <row r="9" spans="1:10" ht="13.5" customHeight="1" x14ac:dyDescent="0.15"/>
  </sheetData>
  <phoneticPr fontId="1" type="noConversion"/>
  <pageMargins left="0.7" right="0.7" top="0.75" bottom="0.75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E23" sqref="E23"/>
    </sheetView>
  </sheetViews>
  <sheetFormatPr defaultRowHeight="12" x14ac:dyDescent="0.15"/>
  <cols>
    <col min="2" max="2" width="16.42578125" customWidth="1"/>
    <col min="3" max="3" width="11.28515625" customWidth="1"/>
    <col min="4" max="4" width="6.28515625" customWidth="1"/>
    <col min="5" max="5" width="12.28515625" customWidth="1"/>
    <col min="6" max="6" width="10.140625" customWidth="1"/>
    <col min="7" max="7" width="10.5703125" customWidth="1"/>
  </cols>
  <sheetData>
    <row r="1" spans="1:9" ht="29.25" customHeight="1" x14ac:dyDescent="0.15">
      <c r="A1" s="1" t="s">
        <v>41</v>
      </c>
      <c r="B1" s="1" t="s">
        <v>36</v>
      </c>
      <c r="C1" s="1" t="s">
        <v>37</v>
      </c>
      <c r="D1" s="1" t="s">
        <v>60</v>
      </c>
      <c r="E1" s="2" t="s">
        <v>109</v>
      </c>
      <c r="F1" s="2" t="s">
        <v>107</v>
      </c>
      <c r="G1" s="2" t="s">
        <v>108</v>
      </c>
      <c r="H1" s="2" t="s">
        <v>105</v>
      </c>
      <c r="I1" s="2" t="s">
        <v>106</v>
      </c>
    </row>
    <row r="2" spans="1:9" x14ac:dyDescent="0.15">
      <c r="A2" s="3">
        <v>1</v>
      </c>
      <c r="B2" s="3" t="s">
        <v>38</v>
      </c>
      <c r="C2" s="3" t="s">
        <v>40</v>
      </c>
      <c r="D2" s="3" t="s">
        <v>61</v>
      </c>
      <c r="E2" s="3">
        <v>0.2</v>
      </c>
      <c r="F2" s="3">
        <v>0.8</v>
      </c>
      <c r="G2" s="3">
        <v>0.8</v>
      </c>
      <c r="H2" s="3">
        <v>0.8</v>
      </c>
      <c r="I2" s="3">
        <v>1.3</v>
      </c>
    </row>
    <row r="3" spans="1:9" x14ac:dyDescent="0.15">
      <c r="A3" s="3">
        <v>2</v>
      </c>
      <c r="B3" s="3" t="s">
        <v>11</v>
      </c>
      <c r="C3" s="3" t="s">
        <v>40</v>
      </c>
      <c r="D3" s="3" t="s">
        <v>61</v>
      </c>
      <c r="E3" s="3">
        <v>0.2</v>
      </c>
      <c r="F3" s="3">
        <v>0.8</v>
      </c>
      <c r="G3" s="3">
        <v>0.8</v>
      </c>
      <c r="H3" s="3">
        <v>0.8</v>
      </c>
      <c r="I3" s="3">
        <v>1.3</v>
      </c>
    </row>
    <row r="4" spans="1:9" x14ac:dyDescent="0.15">
      <c r="A4" s="3">
        <v>3</v>
      </c>
      <c r="B4" s="3" t="s">
        <v>39</v>
      </c>
      <c r="C4" s="3" t="s">
        <v>40</v>
      </c>
      <c r="D4" s="3" t="s">
        <v>61</v>
      </c>
      <c r="E4" s="3">
        <v>0.2</v>
      </c>
      <c r="F4" s="3">
        <v>0.8</v>
      </c>
      <c r="G4" s="3">
        <v>0.8</v>
      </c>
      <c r="H4" s="3">
        <v>0.8</v>
      </c>
      <c r="I4" s="3">
        <v>2.6</v>
      </c>
    </row>
    <row r="5" spans="1:9" x14ac:dyDescent="0.15">
      <c r="A5" s="3">
        <v>4</v>
      </c>
      <c r="B5" s="3" t="s">
        <v>100</v>
      </c>
      <c r="C5" s="3" t="s">
        <v>38</v>
      </c>
      <c r="D5" s="3" t="s">
        <v>104</v>
      </c>
      <c r="E5" s="3">
        <v>0.2</v>
      </c>
      <c r="F5" s="3">
        <v>1.4</v>
      </c>
      <c r="G5" s="3">
        <v>1.6</v>
      </c>
      <c r="H5" s="3">
        <v>0.8</v>
      </c>
      <c r="I5" s="3">
        <v>1.3</v>
      </c>
    </row>
    <row r="6" spans="1:9" x14ac:dyDescent="0.15">
      <c r="A6" s="3">
        <v>5</v>
      </c>
      <c r="B6" s="3" t="s">
        <v>100</v>
      </c>
      <c r="C6" s="3" t="s">
        <v>11</v>
      </c>
      <c r="D6" s="3" t="s">
        <v>104</v>
      </c>
      <c r="E6" s="3">
        <v>0.2</v>
      </c>
      <c r="F6" s="3">
        <v>1.4</v>
      </c>
      <c r="G6" s="3">
        <v>1.6</v>
      </c>
      <c r="H6" s="3">
        <v>0.8</v>
      </c>
      <c r="I6" s="3">
        <v>1.3</v>
      </c>
    </row>
    <row r="7" spans="1:9" x14ac:dyDescent="0.15">
      <c r="A7" s="3">
        <v>6</v>
      </c>
      <c r="B7" s="3" t="s">
        <v>100</v>
      </c>
      <c r="C7" s="3" t="s">
        <v>39</v>
      </c>
      <c r="D7" s="3" t="s">
        <v>104</v>
      </c>
      <c r="E7" s="3">
        <v>0.2</v>
      </c>
      <c r="F7" s="3">
        <v>1.4</v>
      </c>
      <c r="G7" s="3">
        <v>1.6</v>
      </c>
      <c r="H7" s="3">
        <v>0.8</v>
      </c>
      <c r="I7" s="3">
        <v>2.6</v>
      </c>
    </row>
    <row r="8" spans="1:9" x14ac:dyDescent="0.15">
      <c r="A8" s="3">
        <v>7</v>
      </c>
      <c r="B8" s="3" t="s">
        <v>46</v>
      </c>
      <c r="C8" s="3" t="s">
        <v>100</v>
      </c>
      <c r="D8" s="3" t="s">
        <v>104</v>
      </c>
      <c r="E8" s="3">
        <v>0.2</v>
      </c>
      <c r="F8" s="3">
        <v>0.2</v>
      </c>
      <c r="G8" s="3">
        <v>1.6</v>
      </c>
      <c r="H8" s="3">
        <v>0.1</v>
      </c>
      <c r="I8" s="3">
        <v>2.6</v>
      </c>
    </row>
    <row r="9" spans="1:9" x14ac:dyDescent="0.15">
      <c r="A9" s="3">
        <v>8</v>
      </c>
      <c r="B9" s="3" t="s">
        <v>7</v>
      </c>
      <c r="C9" s="3" t="s">
        <v>100</v>
      </c>
      <c r="D9" s="3" t="s">
        <v>104</v>
      </c>
      <c r="E9" s="3">
        <v>0.2</v>
      </c>
      <c r="F9" s="3">
        <v>0.2</v>
      </c>
      <c r="G9" s="3">
        <v>1.6</v>
      </c>
      <c r="H9" s="3">
        <v>0.1</v>
      </c>
      <c r="I9" s="3">
        <v>2.6</v>
      </c>
    </row>
    <row r="10" spans="1:9" x14ac:dyDescent="0.15">
      <c r="A10" s="3">
        <v>9</v>
      </c>
      <c r="B10" s="3" t="s">
        <v>8</v>
      </c>
      <c r="C10" s="3" t="s">
        <v>100</v>
      </c>
      <c r="D10" s="3" t="s">
        <v>104</v>
      </c>
      <c r="E10" s="3">
        <v>0.2</v>
      </c>
      <c r="F10" s="3">
        <v>0.2</v>
      </c>
      <c r="G10" s="3">
        <v>1.6</v>
      </c>
      <c r="H10" s="3">
        <v>0.1</v>
      </c>
      <c r="I10" s="3">
        <v>2.6</v>
      </c>
    </row>
    <row r="11" spans="1:9" x14ac:dyDescent="0.15">
      <c r="A11" s="3">
        <v>10</v>
      </c>
      <c r="B11" s="3" t="s">
        <v>9</v>
      </c>
      <c r="C11" s="3" t="s">
        <v>100</v>
      </c>
      <c r="D11" s="3" t="s">
        <v>104</v>
      </c>
      <c r="E11" s="3">
        <v>0.2</v>
      </c>
      <c r="F11" s="3">
        <v>0.2</v>
      </c>
      <c r="G11" s="3">
        <v>1.6</v>
      </c>
      <c r="H11" s="3">
        <v>0.1</v>
      </c>
      <c r="I11" s="3">
        <v>2.6</v>
      </c>
    </row>
    <row r="12" spans="1:9" x14ac:dyDescent="0.15">
      <c r="A12" s="3">
        <v>11</v>
      </c>
      <c r="B12" s="3" t="s">
        <v>103</v>
      </c>
      <c r="C12" s="3" t="s">
        <v>46</v>
      </c>
      <c r="D12" s="3" t="s">
        <v>104</v>
      </c>
      <c r="E12" s="3">
        <v>0.2</v>
      </c>
      <c r="F12" s="3">
        <v>1.7</v>
      </c>
      <c r="G12" s="3">
        <v>1.8</v>
      </c>
      <c r="H12" s="3">
        <v>0.2</v>
      </c>
      <c r="I12" s="3">
        <v>5</v>
      </c>
    </row>
    <row r="13" spans="1:9" x14ac:dyDescent="0.15">
      <c r="A13" s="3">
        <v>12</v>
      </c>
      <c r="B13" s="3" t="s">
        <v>103</v>
      </c>
      <c r="C13" s="3" t="s">
        <v>7</v>
      </c>
      <c r="D13" s="3" t="s">
        <v>104</v>
      </c>
      <c r="E13" s="3">
        <v>0.2</v>
      </c>
      <c r="F13" s="3">
        <v>1.7</v>
      </c>
      <c r="G13" s="3">
        <v>1.8</v>
      </c>
      <c r="H13" s="3">
        <v>0.2</v>
      </c>
      <c r="I13" s="3">
        <v>5</v>
      </c>
    </row>
    <row r="14" spans="1:9" x14ac:dyDescent="0.15">
      <c r="A14" s="3">
        <v>13</v>
      </c>
      <c r="B14" s="3" t="s">
        <v>103</v>
      </c>
      <c r="C14" s="3" t="s">
        <v>8</v>
      </c>
      <c r="D14" s="3" t="s">
        <v>104</v>
      </c>
      <c r="E14" s="3">
        <v>0.2</v>
      </c>
      <c r="F14" s="3">
        <v>1.7</v>
      </c>
      <c r="G14" s="3">
        <v>1.8</v>
      </c>
      <c r="H14" s="3">
        <v>0.2</v>
      </c>
      <c r="I14" s="3">
        <v>5</v>
      </c>
    </row>
    <row r="15" spans="1:9" x14ac:dyDescent="0.15">
      <c r="A15" s="3">
        <v>14</v>
      </c>
      <c r="B15" s="3" t="s">
        <v>103</v>
      </c>
      <c r="C15" s="3" t="s">
        <v>9</v>
      </c>
      <c r="D15" s="3" t="s">
        <v>104</v>
      </c>
      <c r="E15" s="3">
        <v>0.2</v>
      </c>
      <c r="F15" s="3">
        <v>1.7</v>
      </c>
      <c r="G15" s="3">
        <v>1.8</v>
      </c>
      <c r="H15" s="3">
        <v>0.2</v>
      </c>
      <c r="I15" s="3">
        <v>5</v>
      </c>
    </row>
    <row r="16" spans="1:9" x14ac:dyDescent="0.15">
      <c r="A16" s="3">
        <v>15</v>
      </c>
      <c r="B16" s="3" t="s">
        <v>102</v>
      </c>
      <c r="C16" s="3" t="s">
        <v>103</v>
      </c>
      <c r="D16" s="4" t="s">
        <v>62</v>
      </c>
      <c r="E16" s="3">
        <v>0.2</v>
      </c>
      <c r="F16" s="3">
        <v>1.7</v>
      </c>
      <c r="G16" s="3">
        <v>1.8</v>
      </c>
      <c r="H16" s="3">
        <v>0.2</v>
      </c>
      <c r="I16" s="3">
        <v>5</v>
      </c>
    </row>
    <row r="17" spans="1:9" x14ac:dyDescent="0.15">
      <c r="A17" s="3">
        <v>16</v>
      </c>
      <c r="B17" s="3" t="s">
        <v>77</v>
      </c>
      <c r="C17" s="3" t="s">
        <v>103</v>
      </c>
      <c r="D17" s="4" t="s">
        <v>62</v>
      </c>
      <c r="E17" s="3">
        <v>0.2</v>
      </c>
      <c r="F17" s="3">
        <v>1.7</v>
      </c>
      <c r="G17" s="3">
        <v>1.8</v>
      </c>
      <c r="H17" s="3">
        <v>0.2</v>
      </c>
      <c r="I17" s="3">
        <v>5</v>
      </c>
    </row>
    <row r="18" spans="1:9" x14ac:dyDescent="0.15">
      <c r="A18" s="3">
        <v>17</v>
      </c>
      <c r="B18" s="3" t="s">
        <v>78</v>
      </c>
      <c r="C18" s="3" t="s">
        <v>103</v>
      </c>
      <c r="D18" s="4" t="s">
        <v>62</v>
      </c>
      <c r="E18" s="3">
        <v>0.2</v>
      </c>
      <c r="F18" s="3">
        <v>1.7</v>
      </c>
      <c r="G18" s="3">
        <v>1.8</v>
      </c>
      <c r="H18" s="3">
        <v>0.2</v>
      </c>
      <c r="I18" s="3">
        <v>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27"/>
  <sheetViews>
    <sheetView workbookViewId="0">
      <selection activeCell="N27" sqref="N27"/>
    </sheetView>
  </sheetViews>
  <sheetFormatPr defaultRowHeight="12" x14ac:dyDescent="0.15"/>
  <cols>
    <col min="4" max="4" width="7.28515625" customWidth="1"/>
    <col min="12" max="12" width="10.7109375" customWidth="1"/>
  </cols>
  <sheetData>
    <row r="1" spans="1:18" ht="21.75" customHeight="1" x14ac:dyDescent="0.15">
      <c r="A1" s="1" t="s">
        <v>113</v>
      </c>
      <c r="B1" s="1" t="s">
        <v>110</v>
      </c>
      <c r="C1" s="1" t="s">
        <v>111</v>
      </c>
      <c r="D1" s="1" t="s">
        <v>112</v>
      </c>
      <c r="F1" s="1" t="s">
        <v>114</v>
      </c>
      <c r="G1" s="1" t="s">
        <v>110</v>
      </c>
      <c r="H1" s="1" t="s">
        <v>111</v>
      </c>
      <c r="I1" s="1" t="s">
        <v>112</v>
      </c>
      <c r="K1" s="1" t="s">
        <v>115</v>
      </c>
      <c r="L1" s="1" t="s">
        <v>110</v>
      </c>
      <c r="M1" s="1" t="s">
        <v>111</v>
      </c>
      <c r="N1" s="1" t="s">
        <v>112</v>
      </c>
    </row>
    <row r="2" spans="1:18" x14ac:dyDescent="0.15">
      <c r="A2" s="13" t="s">
        <v>130</v>
      </c>
      <c r="B2" s="13" t="s">
        <v>130</v>
      </c>
      <c r="C2" s="9">
        <v>0</v>
      </c>
      <c r="D2" s="9">
        <v>7</v>
      </c>
      <c r="F2" s="9" t="s">
        <v>116</v>
      </c>
      <c r="G2" s="9" t="s">
        <v>117</v>
      </c>
      <c r="H2" s="9">
        <v>1</v>
      </c>
      <c r="I2" s="9">
        <v>1</v>
      </c>
      <c r="J2" s="12"/>
      <c r="K2" s="9" t="s">
        <v>118</v>
      </c>
      <c r="L2" s="9" t="s">
        <v>119</v>
      </c>
      <c r="M2" s="9" t="s">
        <v>128</v>
      </c>
      <c r="N2" s="9">
        <v>3</v>
      </c>
      <c r="R2" t="str">
        <f>IF(PreSchOps!J2=1,"1","0")</f>
        <v>1</v>
      </c>
    </row>
    <row r="3" spans="1:18" x14ac:dyDescent="0.15">
      <c r="A3" s="13" t="s">
        <v>133</v>
      </c>
      <c r="B3" s="13" t="s">
        <v>133</v>
      </c>
      <c r="C3" s="9">
        <v>0</v>
      </c>
      <c r="D3" s="9">
        <v>7</v>
      </c>
      <c r="F3" s="12"/>
      <c r="G3" s="12"/>
      <c r="H3" s="12"/>
      <c r="I3" s="12"/>
      <c r="J3" s="12"/>
      <c r="K3" s="12"/>
      <c r="L3" s="12"/>
      <c r="M3" s="12"/>
      <c r="N3" s="12"/>
    </row>
    <row r="4" spans="1:18" x14ac:dyDescent="0.15">
      <c r="A4" s="13" t="s">
        <v>134</v>
      </c>
      <c r="B4" s="13" t="s">
        <v>134</v>
      </c>
      <c r="C4" s="9">
        <v>0</v>
      </c>
      <c r="D4" s="9">
        <v>0</v>
      </c>
      <c r="F4" s="12"/>
      <c r="G4" s="12"/>
      <c r="H4" s="12"/>
      <c r="I4" s="12"/>
      <c r="J4" s="12"/>
      <c r="K4" s="12"/>
      <c r="L4" s="12"/>
      <c r="M4" s="12"/>
      <c r="N4" s="12"/>
    </row>
    <row r="5" spans="1:18" x14ac:dyDescent="0.15">
      <c r="A5" s="9" t="s">
        <v>116</v>
      </c>
      <c r="B5" s="9" t="s">
        <v>117</v>
      </c>
      <c r="C5" s="9">
        <v>3</v>
      </c>
      <c r="D5" s="9">
        <v>7</v>
      </c>
      <c r="F5" s="12"/>
      <c r="G5" s="12"/>
      <c r="H5" s="12"/>
      <c r="I5" s="12"/>
      <c r="J5" s="12"/>
      <c r="K5" s="12"/>
      <c r="L5" s="12"/>
      <c r="M5" s="12"/>
      <c r="N5" s="12"/>
    </row>
    <row r="6" spans="1:18" x14ac:dyDescent="0.15">
      <c r="A6" s="9" t="s">
        <v>121</v>
      </c>
      <c r="B6" s="9" t="s">
        <v>122</v>
      </c>
      <c r="C6" s="9">
        <v>3</v>
      </c>
      <c r="D6" s="9" t="s">
        <v>120</v>
      </c>
      <c r="F6" s="12"/>
      <c r="G6" s="12"/>
      <c r="H6" s="12"/>
      <c r="I6" s="12"/>
      <c r="J6" s="12"/>
      <c r="K6" s="12"/>
      <c r="L6" s="12"/>
      <c r="M6" s="12"/>
      <c r="N6" s="12"/>
    </row>
    <row r="7" spans="1:18" x14ac:dyDescent="0.15">
      <c r="A7" s="13" t="s">
        <v>123</v>
      </c>
      <c r="B7" s="13" t="s">
        <v>123</v>
      </c>
      <c r="C7" s="9">
        <v>0</v>
      </c>
      <c r="D7" s="9">
        <v>0</v>
      </c>
      <c r="F7" s="12"/>
      <c r="G7" s="12"/>
      <c r="H7" s="12"/>
      <c r="I7" s="12"/>
      <c r="J7" s="12"/>
      <c r="K7" s="12"/>
      <c r="L7" s="12"/>
      <c r="M7" s="12"/>
      <c r="N7" s="12"/>
    </row>
    <row r="8" spans="1:18" x14ac:dyDescent="0.15">
      <c r="A8" s="9" t="s">
        <v>124</v>
      </c>
      <c r="B8" s="9" t="s">
        <v>125</v>
      </c>
      <c r="C8" s="9">
        <v>0</v>
      </c>
      <c r="D8" s="9" t="s">
        <v>120</v>
      </c>
      <c r="F8" s="12"/>
      <c r="G8" s="12"/>
      <c r="H8" s="12"/>
      <c r="I8" s="12"/>
      <c r="J8" s="12"/>
      <c r="K8" s="12"/>
      <c r="L8" s="12"/>
      <c r="M8" s="12"/>
      <c r="N8" s="12"/>
    </row>
    <row r="9" spans="1:18" x14ac:dyDescent="0.15">
      <c r="A9" s="9" t="s">
        <v>126</v>
      </c>
      <c r="B9" s="9" t="s">
        <v>127</v>
      </c>
      <c r="C9" s="9" t="s">
        <v>128</v>
      </c>
      <c r="D9" s="9" t="s">
        <v>120</v>
      </c>
      <c r="F9" s="12"/>
      <c r="G9" s="12"/>
      <c r="H9" s="12"/>
      <c r="I9" s="12"/>
      <c r="J9" s="12"/>
      <c r="K9" s="12"/>
      <c r="L9" s="12"/>
      <c r="M9" s="12"/>
      <c r="N9" s="12"/>
    </row>
    <row r="10" spans="1:18" x14ac:dyDescent="0.15">
      <c r="A10" s="13" t="s">
        <v>135</v>
      </c>
      <c r="B10" s="13" t="s">
        <v>135</v>
      </c>
      <c r="C10" s="9" t="s">
        <v>129</v>
      </c>
      <c r="D10" s="9" t="s">
        <v>130</v>
      </c>
      <c r="F10" s="12"/>
      <c r="G10" s="12"/>
      <c r="H10" s="12"/>
      <c r="I10" s="12"/>
      <c r="J10" s="12"/>
      <c r="K10" s="12"/>
      <c r="L10" s="12"/>
      <c r="M10" s="12"/>
      <c r="N10" s="12"/>
    </row>
    <row r="11" spans="1:18" x14ac:dyDescent="0.15">
      <c r="A11" s="13" t="s">
        <v>131</v>
      </c>
      <c r="B11" s="13" t="s">
        <v>131</v>
      </c>
      <c r="C11" s="9" t="s">
        <v>129</v>
      </c>
      <c r="D11" s="9" t="s">
        <v>130</v>
      </c>
      <c r="F11" s="12"/>
      <c r="G11" s="12"/>
      <c r="H11" s="12"/>
      <c r="I11" s="12"/>
      <c r="J11" s="12"/>
      <c r="K11" s="12"/>
      <c r="L11" s="12"/>
      <c r="M11" s="12"/>
      <c r="N11" s="12"/>
    </row>
    <row r="12" spans="1:18" x14ac:dyDescent="0.15">
      <c r="A12" s="13" t="s">
        <v>132</v>
      </c>
      <c r="B12" s="13" t="s">
        <v>132</v>
      </c>
      <c r="C12" s="9" t="s">
        <v>129</v>
      </c>
      <c r="D12" s="9" t="s">
        <v>130</v>
      </c>
      <c r="F12" s="12"/>
      <c r="G12" s="12"/>
      <c r="H12" s="12"/>
      <c r="I12" s="12"/>
      <c r="J12" s="12"/>
      <c r="K12" s="12"/>
      <c r="L12" s="12"/>
      <c r="M12" s="12"/>
      <c r="N12" s="12"/>
    </row>
    <row r="13" spans="1:18" x14ac:dyDescent="0.15">
      <c r="A13" s="9"/>
      <c r="B13" s="9"/>
      <c r="C13" s="18"/>
      <c r="D13" s="18"/>
      <c r="F13" s="12"/>
      <c r="G13" s="12"/>
      <c r="H13" s="12"/>
      <c r="I13" s="12"/>
      <c r="J13" s="12"/>
      <c r="K13" s="12"/>
      <c r="L13" s="12"/>
      <c r="M13" s="12"/>
      <c r="N13" s="12"/>
    </row>
    <row r="14" spans="1:18" x14ac:dyDescent="0.15">
      <c r="A14" s="9"/>
      <c r="B14" s="9"/>
      <c r="C14" s="18"/>
      <c r="D14" s="18"/>
      <c r="F14" s="12"/>
      <c r="G14" s="12"/>
      <c r="H14" s="12"/>
      <c r="I14" s="12"/>
      <c r="J14" s="12"/>
      <c r="K14" s="12"/>
      <c r="L14" s="12"/>
      <c r="M14" s="12"/>
      <c r="N14" s="12"/>
    </row>
    <row r="15" spans="1:18" x14ac:dyDescent="0.15">
      <c r="A15" s="9"/>
      <c r="B15" s="9"/>
      <c r="C15" s="9"/>
      <c r="D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18" x14ac:dyDescent="0.15">
      <c r="A16" s="9"/>
      <c r="B16" s="9"/>
      <c r="C16" s="9"/>
      <c r="D16" s="9"/>
      <c r="F16" s="12"/>
      <c r="G16" s="12"/>
      <c r="H16" s="12"/>
      <c r="I16" s="12"/>
      <c r="J16" s="12"/>
      <c r="K16" s="12"/>
      <c r="L16" s="12"/>
      <c r="M16" s="12"/>
      <c r="N16" s="12"/>
    </row>
    <row r="17" spans="1:14" x14ac:dyDescent="0.15">
      <c r="A17" s="9"/>
      <c r="B17" s="9"/>
      <c r="C17" s="9"/>
      <c r="D17" s="9"/>
      <c r="F17" s="12"/>
      <c r="G17" s="12"/>
      <c r="H17" s="12"/>
      <c r="I17" s="12"/>
      <c r="J17" s="12"/>
      <c r="K17" s="12"/>
      <c r="L17" s="12"/>
      <c r="M17" s="12"/>
      <c r="N17" s="12"/>
    </row>
    <row r="18" spans="1:14" x14ac:dyDescent="0.15">
      <c r="A18" s="9"/>
      <c r="B18" s="9"/>
      <c r="C18" s="9"/>
      <c r="D18" s="9"/>
      <c r="F18" s="12"/>
      <c r="G18" s="12"/>
      <c r="H18" s="12"/>
      <c r="I18" s="12"/>
      <c r="J18" s="12"/>
      <c r="K18" s="12"/>
      <c r="L18" s="12"/>
      <c r="M18" s="12"/>
      <c r="N18" s="12"/>
    </row>
    <row r="19" spans="1:14" x14ac:dyDescent="0.15">
      <c r="A19" s="9"/>
      <c r="B19" s="9"/>
      <c r="C19" s="9"/>
      <c r="D19" s="9"/>
      <c r="F19" s="12"/>
      <c r="G19" s="12"/>
      <c r="H19" s="12"/>
      <c r="I19" s="12"/>
      <c r="J19" s="12"/>
      <c r="K19" s="12"/>
      <c r="L19" s="12"/>
      <c r="M19" s="12"/>
      <c r="N19" s="12"/>
    </row>
    <row r="20" spans="1:14" x14ac:dyDescent="0.15">
      <c r="A20" s="9"/>
      <c r="B20" s="9"/>
      <c r="C20" s="9"/>
      <c r="D20" s="9"/>
      <c r="F20" s="12"/>
      <c r="G20" s="12"/>
      <c r="H20" s="12"/>
      <c r="I20" s="12"/>
      <c r="J20" s="12"/>
      <c r="K20" s="12"/>
      <c r="L20" s="12"/>
      <c r="M20" s="12"/>
      <c r="N20" s="12"/>
    </row>
    <row r="21" spans="1:14" x14ac:dyDescent="0.15">
      <c r="A21" s="9"/>
      <c r="B21" s="9"/>
      <c r="C21" s="9"/>
      <c r="D21" s="9"/>
      <c r="F21" s="12"/>
      <c r="G21" s="12"/>
      <c r="H21" s="12"/>
      <c r="I21" s="12"/>
      <c r="J21" s="12"/>
      <c r="K21" s="12"/>
      <c r="L21" s="12"/>
      <c r="M21" s="12"/>
      <c r="N21" s="12"/>
    </row>
    <row r="22" spans="1:14" x14ac:dyDescent="0.15">
      <c r="A22" s="9"/>
      <c r="B22" s="9"/>
      <c r="C22" s="9"/>
      <c r="D22" s="9"/>
      <c r="F22" s="12"/>
      <c r="G22" s="12"/>
      <c r="H22" s="12"/>
      <c r="I22" s="12"/>
      <c r="J22" s="12"/>
      <c r="K22" s="12"/>
      <c r="L22" s="12"/>
      <c r="M22" s="12"/>
      <c r="N22" s="12"/>
    </row>
    <row r="23" spans="1:14" x14ac:dyDescent="0.15">
      <c r="A23" s="9"/>
      <c r="B23" s="9"/>
      <c r="C23" s="9"/>
      <c r="D23" s="9"/>
      <c r="F23" s="12"/>
      <c r="G23" s="12"/>
      <c r="H23" s="12"/>
      <c r="I23" s="12"/>
      <c r="J23" s="12"/>
      <c r="K23" s="12"/>
      <c r="L23" s="12"/>
      <c r="M23" s="12"/>
      <c r="N23" s="12"/>
    </row>
    <row r="24" spans="1:14" x14ac:dyDescent="0.15">
      <c r="A24" s="9"/>
      <c r="B24" s="9"/>
      <c r="C24" s="9"/>
      <c r="D24" s="9"/>
      <c r="F24" s="12"/>
      <c r="G24" s="12"/>
      <c r="H24" s="12"/>
      <c r="I24" s="12"/>
      <c r="J24" s="12"/>
      <c r="K24" s="12"/>
      <c r="L24" s="12"/>
      <c r="M24" s="12"/>
      <c r="N24" s="12"/>
    </row>
    <row r="25" spans="1:14" x14ac:dyDescent="0.15">
      <c r="A25" s="9"/>
      <c r="B25" s="9"/>
      <c r="C25" s="9"/>
      <c r="D25" s="9"/>
      <c r="F25" s="12"/>
      <c r="G25" s="12"/>
      <c r="H25" s="12"/>
      <c r="I25" s="12"/>
      <c r="J25" s="12"/>
      <c r="K25" s="12"/>
      <c r="L25" s="12"/>
      <c r="M25" s="12"/>
      <c r="N25" s="12"/>
    </row>
    <row r="26" spans="1:14" x14ac:dyDescent="0.15">
      <c r="A26" s="9"/>
      <c r="B26" s="9"/>
      <c r="C26" s="9"/>
      <c r="D26" s="9"/>
      <c r="F26" s="12"/>
      <c r="G26" s="12"/>
      <c r="H26" s="12"/>
      <c r="I26" s="12"/>
      <c r="J26" s="12"/>
      <c r="K26" s="12"/>
      <c r="L26" s="12"/>
      <c r="M26" s="12"/>
      <c r="N26" s="12"/>
    </row>
    <row r="27" spans="1:14" x14ac:dyDescent="0.15">
      <c r="F27" s="12"/>
      <c r="G27" s="12"/>
      <c r="H27" s="12"/>
      <c r="I27" s="12"/>
      <c r="J27" s="12"/>
      <c r="K27" s="12"/>
      <c r="L27" s="12"/>
      <c r="M27" s="12"/>
      <c r="N27" s="12"/>
    </row>
  </sheetData>
  <phoneticPr fontId="1" type="noConversion"/>
  <pageMargins left="0.7" right="0.7" top="0.75" bottom="0.75" header="0.3" footer="0.3"/>
  <ignoredErrors>
    <ignoredError sqref="A2:D3 A5:D12 A4:B4" numberStoredAsText="1"/>
  </ignoredErrors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4"/>
  <sheetViews>
    <sheetView workbookViewId="0">
      <selection activeCell="R23" sqref="R23"/>
    </sheetView>
  </sheetViews>
  <sheetFormatPr defaultRowHeight="12" x14ac:dyDescent="0.15"/>
  <cols>
    <col min="3" max="3" width="10.7109375" customWidth="1"/>
    <col min="4" max="4" width="7.28515625" customWidth="1"/>
    <col min="5" max="5" width="5.5703125" customWidth="1"/>
    <col min="6" max="6" width="8" customWidth="1"/>
    <col min="7" max="7" width="7.140625" customWidth="1"/>
    <col min="8" max="8" width="6.7109375" customWidth="1"/>
    <col min="11" max="11" width="5.7109375" customWidth="1"/>
    <col min="12" max="12" width="7.42578125" customWidth="1"/>
  </cols>
  <sheetData>
    <row r="1" spans="1:13" x14ac:dyDescent="0.15">
      <c r="A1" s="3" t="s">
        <v>162</v>
      </c>
      <c r="B1" s="3" t="s">
        <v>169</v>
      </c>
      <c r="C1" s="3" t="s">
        <v>172</v>
      </c>
      <c r="F1" t="s">
        <v>173</v>
      </c>
      <c r="G1" t="s">
        <v>174</v>
      </c>
      <c r="H1" t="s">
        <v>175</v>
      </c>
      <c r="J1" t="s">
        <v>183</v>
      </c>
      <c r="K1" t="s">
        <v>184</v>
      </c>
      <c r="L1" t="s">
        <v>188</v>
      </c>
      <c r="M1" t="s">
        <v>189</v>
      </c>
    </row>
    <row r="2" spans="1:13" x14ac:dyDescent="0.15">
      <c r="A2" s="3" t="s">
        <v>30</v>
      </c>
      <c r="B2" s="3" t="s">
        <v>170</v>
      </c>
      <c r="C2" s="3">
        <v>1</v>
      </c>
      <c r="E2">
        <v>0</v>
      </c>
      <c r="F2" t="s">
        <v>176</v>
      </c>
      <c r="G2">
        <v>0</v>
      </c>
      <c r="H2">
        <v>5</v>
      </c>
      <c r="J2" t="s">
        <v>187</v>
      </c>
      <c r="K2" t="s">
        <v>185</v>
      </c>
      <c r="L2">
        <v>0.4</v>
      </c>
      <c r="M2">
        <v>1.5</v>
      </c>
    </row>
    <row r="3" spans="1:13" x14ac:dyDescent="0.15">
      <c r="A3" s="3" t="s">
        <v>16</v>
      </c>
      <c r="B3" s="3" t="s">
        <v>171</v>
      </c>
      <c r="C3" s="3">
        <v>2</v>
      </c>
      <c r="E3">
        <v>1</v>
      </c>
      <c r="F3" t="s">
        <v>177</v>
      </c>
      <c r="G3">
        <v>0</v>
      </c>
      <c r="H3">
        <v>5</v>
      </c>
      <c r="J3" t="s">
        <v>187</v>
      </c>
      <c r="K3" t="s">
        <v>186</v>
      </c>
      <c r="L3">
        <v>0.4</v>
      </c>
      <c r="M3">
        <v>1.5</v>
      </c>
    </row>
    <row r="4" spans="1:13" x14ac:dyDescent="0.15">
      <c r="A4" s="3" t="s">
        <v>140</v>
      </c>
      <c r="B4" s="3" t="s">
        <v>171</v>
      </c>
      <c r="C4" s="3">
        <v>3</v>
      </c>
      <c r="E4">
        <v>2</v>
      </c>
      <c r="F4" t="s">
        <v>178</v>
      </c>
      <c r="G4">
        <v>0</v>
      </c>
      <c r="H4">
        <v>1.5</v>
      </c>
    </row>
    <row r="5" spans="1:13" x14ac:dyDescent="0.15">
      <c r="A5" s="3" t="s">
        <v>10</v>
      </c>
      <c r="B5" s="3" t="s">
        <v>171</v>
      </c>
      <c r="C5" s="3">
        <v>4</v>
      </c>
      <c r="E5">
        <v>3</v>
      </c>
      <c r="F5" t="s">
        <v>179</v>
      </c>
      <c r="G5">
        <v>0</v>
      </c>
      <c r="H5">
        <v>5</v>
      </c>
    </row>
    <row r="6" spans="1:13" x14ac:dyDescent="0.15">
      <c r="A6" s="3" t="s">
        <v>163</v>
      </c>
      <c r="B6" s="3" t="s">
        <v>171</v>
      </c>
      <c r="C6" s="3">
        <v>5</v>
      </c>
      <c r="E6">
        <v>4</v>
      </c>
      <c r="F6" t="s">
        <v>180</v>
      </c>
      <c r="G6">
        <v>0</v>
      </c>
      <c r="H6">
        <v>5</v>
      </c>
    </row>
    <row r="7" spans="1:13" x14ac:dyDescent="0.15">
      <c r="A7" s="3" t="s">
        <v>164</v>
      </c>
      <c r="B7" s="3" t="s">
        <v>171</v>
      </c>
      <c r="C7" s="3">
        <v>6</v>
      </c>
      <c r="E7">
        <v>5</v>
      </c>
      <c r="F7" t="s">
        <v>181</v>
      </c>
      <c r="G7">
        <v>0</v>
      </c>
      <c r="H7">
        <v>1.5</v>
      </c>
    </row>
    <row r="8" spans="1:13" x14ac:dyDescent="0.15">
      <c r="A8" s="3" t="s">
        <v>165</v>
      </c>
      <c r="B8" s="3" t="s">
        <v>171</v>
      </c>
      <c r="C8" s="3">
        <v>7</v>
      </c>
    </row>
    <row r="9" spans="1:13" x14ac:dyDescent="0.15">
      <c r="A9" s="3" t="s">
        <v>166</v>
      </c>
      <c r="B9" s="3" t="s">
        <v>171</v>
      </c>
      <c r="C9" s="3">
        <v>8</v>
      </c>
    </row>
    <row r="10" spans="1:13" x14ac:dyDescent="0.15">
      <c r="A10" s="3" t="s">
        <v>167</v>
      </c>
      <c r="B10" s="3" t="s">
        <v>171</v>
      </c>
      <c r="C10" s="3">
        <v>9</v>
      </c>
    </row>
    <row r="11" spans="1:13" x14ac:dyDescent="0.15">
      <c r="A11" s="3" t="s">
        <v>168</v>
      </c>
      <c r="B11" s="3" t="s">
        <v>171</v>
      </c>
      <c r="C11" s="3">
        <v>10</v>
      </c>
      <c r="F11" t="s">
        <v>173</v>
      </c>
      <c r="G11" t="s">
        <v>174</v>
      </c>
      <c r="H11" t="s">
        <v>175</v>
      </c>
    </row>
    <row r="12" spans="1:13" x14ac:dyDescent="0.15">
      <c r="E12">
        <v>0</v>
      </c>
      <c r="F12" t="s">
        <v>178</v>
      </c>
      <c r="G12">
        <v>0</v>
      </c>
      <c r="H12">
        <v>1.5</v>
      </c>
    </row>
    <row r="13" spans="1:13" x14ac:dyDescent="0.15">
      <c r="E13">
        <v>1</v>
      </c>
      <c r="F13" t="s">
        <v>181</v>
      </c>
      <c r="G13">
        <v>0</v>
      </c>
      <c r="H13">
        <v>1.5</v>
      </c>
    </row>
    <row r="14" spans="1:13" x14ac:dyDescent="0.15">
      <c r="E14">
        <v>2</v>
      </c>
      <c r="F14" t="s">
        <v>182</v>
      </c>
      <c r="G14">
        <v>0</v>
      </c>
      <c r="H14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4"/>
  <sheetViews>
    <sheetView tabSelected="1" workbookViewId="0">
      <selection activeCell="G28" sqref="G28"/>
    </sheetView>
  </sheetViews>
  <sheetFormatPr defaultRowHeight="12" x14ac:dyDescent="0.15"/>
  <cols>
    <col min="1" max="1" width="4.7109375" customWidth="1"/>
    <col min="2" max="2" width="8.5703125" customWidth="1"/>
    <col min="3" max="3" width="12.85546875" customWidth="1"/>
    <col min="4" max="7" width="9.42578125" customWidth="1"/>
    <col min="8" max="8" width="8.5703125" customWidth="1"/>
    <col min="9" max="9" width="9.42578125" customWidth="1"/>
    <col min="12" max="12" width="8.85546875" customWidth="1"/>
  </cols>
  <sheetData>
    <row r="1" spans="1:27" ht="26.25" customHeight="1" x14ac:dyDescent="0.15">
      <c r="A1" s="2" t="s">
        <v>31</v>
      </c>
      <c r="B1" s="2" t="s">
        <v>190</v>
      </c>
      <c r="C1" s="2" t="s">
        <v>32</v>
      </c>
      <c r="D1" s="40" t="s">
        <v>203</v>
      </c>
      <c r="E1" s="41" t="s">
        <v>203</v>
      </c>
      <c r="F1" s="40" t="s">
        <v>204</v>
      </c>
      <c r="G1" s="41" t="s">
        <v>205</v>
      </c>
      <c r="H1" s="45" t="str">
        <f>PP!A2</f>
        <v>K1</v>
      </c>
      <c r="I1" s="46" t="str">
        <f>PP!B2</f>
        <v>硫含量 %</v>
      </c>
      <c r="J1" s="45" t="str">
        <f>IF(ISBLANK(PP!A3),"",PP!A3)</f>
        <v>K2</v>
      </c>
      <c r="K1" s="46" t="str">
        <f>IF(ISBLANK(PP!B3),"",PP!B3)</f>
        <v>酸值</v>
      </c>
      <c r="L1" s="45">
        <f>PP!$A$4</f>
        <v>0</v>
      </c>
      <c r="M1" s="46" t="str">
        <f>IF(ISBLANK(PP!$B$4),"",PP!$B$4)</f>
        <v/>
      </c>
      <c r="N1" s="45" t="str">
        <f>IF(ISBLANK(PP!$A$5),"",PP!$A$5)</f>
        <v/>
      </c>
      <c r="O1" s="46" t="str">
        <f>IF(ISBLANK(PP!$B$5),"",PP!$B$5)</f>
        <v/>
      </c>
      <c r="P1" s="45" t="str">
        <f>IF(ISBLANK(PP!$A$6),"",PP!$A$6)</f>
        <v/>
      </c>
      <c r="Q1" s="46" t="str">
        <f>IF(ISBLANK(PP!$B$6),"",PP!$B$6)</f>
        <v/>
      </c>
      <c r="R1" s="45" t="str">
        <f>IF(ISBLANK(PP!$A$7),"",PP!$A$7)</f>
        <v/>
      </c>
      <c r="S1" s="46" t="str">
        <f>IF(ISBLANK(PP!$B$7),"",PP!$B$7)</f>
        <v/>
      </c>
      <c r="T1" s="45" t="str">
        <f>IF(ISBLANK(PP!$A$8),"",PP!$A$8)</f>
        <v/>
      </c>
      <c r="U1" s="46" t="str">
        <f>IF(ISBLANK(PP!$B$8),"",PP!$B$8)</f>
        <v/>
      </c>
      <c r="V1" s="45" t="str">
        <f>IF(ISBLANK(PP!$A$9),"",PP!$A$9)</f>
        <v/>
      </c>
      <c r="W1" s="46" t="str">
        <f>IF(ISBLANK(PP!$B$9),"",PP!$B$9)</f>
        <v/>
      </c>
      <c r="X1" s="45" t="str">
        <f>IF(ISBLANK(PP!$A$10),"",PP!$A$10)</f>
        <v/>
      </c>
      <c r="Y1" s="46" t="str">
        <f>IF(ISBLANK(PP!$B$10),"",PP!$B$10)</f>
        <v/>
      </c>
      <c r="Z1" s="45" t="str">
        <f>IF(ISBLANK(PP!$A$11),"",PP!$A$11)</f>
        <v/>
      </c>
      <c r="AA1" s="46" t="str">
        <f>IF(ISBLANK(PP!$B$11),"",PP!$B$11)</f>
        <v/>
      </c>
    </row>
    <row r="2" spans="1:27" ht="17.25" customHeight="1" x14ac:dyDescent="0.15">
      <c r="A2" s="39"/>
      <c r="B2" s="39"/>
      <c r="C2" s="39"/>
      <c r="D2" s="2" t="s">
        <v>200</v>
      </c>
      <c r="E2" s="2" t="s">
        <v>201</v>
      </c>
      <c r="F2" s="2" t="s">
        <v>200</v>
      </c>
      <c r="G2" s="2" t="s">
        <v>201</v>
      </c>
      <c r="H2" s="2" t="s">
        <v>200</v>
      </c>
      <c r="I2" s="2" t="s">
        <v>201</v>
      </c>
      <c r="J2" s="2" t="s">
        <v>200</v>
      </c>
      <c r="K2" s="2" t="s">
        <v>201</v>
      </c>
      <c r="L2" s="2" t="s">
        <v>200</v>
      </c>
      <c r="M2" s="2" t="s">
        <v>201</v>
      </c>
      <c r="N2" s="2" t="s">
        <v>200</v>
      </c>
      <c r="O2" s="2" t="s">
        <v>201</v>
      </c>
      <c r="P2" s="2" t="s">
        <v>200</v>
      </c>
      <c r="Q2" s="2" t="s">
        <v>201</v>
      </c>
      <c r="R2" s="2" t="s">
        <v>200</v>
      </c>
      <c r="S2" s="2" t="s">
        <v>201</v>
      </c>
      <c r="T2" s="2" t="s">
        <v>200</v>
      </c>
      <c r="U2" s="2" t="s">
        <v>201</v>
      </c>
      <c r="V2" s="2" t="s">
        <v>200</v>
      </c>
      <c r="W2" s="2" t="s">
        <v>201</v>
      </c>
      <c r="X2" s="2" t="s">
        <v>200</v>
      </c>
      <c r="Y2" s="2" t="s">
        <v>201</v>
      </c>
      <c r="Z2" s="2" t="s">
        <v>200</v>
      </c>
      <c r="AA2" s="2" t="s">
        <v>201</v>
      </c>
    </row>
    <row r="3" spans="1:27" x14ac:dyDescent="0.15">
      <c r="A3" s="19" t="s">
        <v>191</v>
      </c>
      <c r="B3" s="38" t="s">
        <v>192</v>
      </c>
      <c r="C3" s="38" t="s">
        <v>193</v>
      </c>
      <c r="D3" s="19">
        <v>30000</v>
      </c>
      <c r="E3" s="19">
        <v>34000</v>
      </c>
      <c r="F3" s="19">
        <v>8000</v>
      </c>
      <c r="G3" s="19">
        <v>8000</v>
      </c>
      <c r="H3" s="19">
        <v>0.6</v>
      </c>
      <c r="I3" s="19">
        <v>1</v>
      </c>
      <c r="J3" s="19">
        <v>0.5</v>
      </c>
      <c r="K3" s="19">
        <v>0.9</v>
      </c>
    </row>
    <row r="4" spans="1:27" x14ac:dyDescent="0.15">
      <c r="A4" s="38" t="s">
        <v>194</v>
      </c>
      <c r="B4" s="38" t="s">
        <v>195</v>
      </c>
      <c r="C4" s="38" t="s">
        <v>196</v>
      </c>
      <c r="D4" s="19">
        <v>22000</v>
      </c>
      <c r="E4" s="19">
        <v>26000</v>
      </c>
      <c r="F4" s="19">
        <v>8000</v>
      </c>
      <c r="G4" s="19">
        <v>8000</v>
      </c>
      <c r="H4" s="19">
        <v>0.6</v>
      </c>
      <c r="I4" s="19">
        <v>1</v>
      </c>
      <c r="J4" s="19">
        <v>0.5</v>
      </c>
      <c r="K4" s="19">
        <v>0.9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"/>
  <sheetViews>
    <sheetView workbookViewId="0">
      <selection activeCell="E34" sqref="E34"/>
    </sheetView>
  </sheetViews>
  <sheetFormatPr defaultRowHeight="12" x14ac:dyDescent="0.15"/>
  <cols>
    <col min="1" max="1" width="5.7109375" customWidth="1"/>
    <col min="2" max="2" width="12" customWidth="1"/>
    <col min="3" max="3" width="8" customWidth="1"/>
  </cols>
  <sheetData>
    <row r="1" spans="1:4" ht="28.5" customHeight="1" x14ac:dyDescent="0.15">
      <c r="A1" s="2" t="s">
        <v>4</v>
      </c>
      <c r="B1" s="2" t="s">
        <v>12</v>
      </c>
      <c r="C1" s="2" t="s">
        <v>206</v>
      </c>
      <c r="D1" s="2" t="s">
        <v>207</v>
      </c>
    </row>
    <row r="2" spans="1:4" x14ac:dyDescent="0.15">
      <c r="A2" t="s">
        <v>197</v>
      </c>
      <c r="B2" t="s">
        <v>202</v>
      </c>
      <c r="C2">
        <v>10</v>
      </c>
      <c r="D2">
        <v>100</v>
      </c>
    </row>
    <row r="3" spans="1:4" x14ac:dyDescent="0.15">
      <c r="A3" t="s">
        <v>198</v>
      </c>
      <c r="B3" t="s">
        <v>199</v>
      </c>
      <c r="C3">
        <v>0</v>
      </c>
      <c r="D3">
        <v>1000</v>
      </c>
    </row>
    <row r="6" spans="1:4" x14ac:dyDescent="0.15">
      <c r="B6" s="12"/>
    </row>
    <row r="7" spans="1:4" x14ac:dyDescent="0.15">
      <c r="B7" s="12"/>
    </row>
    <row r="8" spans="1:4" x14ac:dyDescent="0.15">
      <c r="B8" s="12"/>
    </row>
    <row r="9" spans="1:4" x14ac:dyDescent="0.15">
      <c r="B9" s="12"/>
    </row>
    <row r="10" spans="1:4" x14ac:dyDescent="0.15">
      <c r="B10" s="12"/>
    </row>
    <row r="11" spans="1:4" x14ac:dyDescent="0.15">
      <c r="B11" s="12"/>
    </row>
    <row r="12" spans="1:4" x14ac:dyDescent="0.15">
      <c r="B12" s="12"/>
    </row>
    <row r="13" spans="1:4" x14ac:dyDescent="0.15">
      <c r="B13" s="12"/>
    </row>
    <row r="14" spans="1:4" x14ac:dyDescent="0.15">
      <c r="B14" s="12"/>
    </row>
    <row r="15" spans="1:4" x14ac:dyDescent="0.15">
      <c r="B15" s="12"/>
    </row>
    <row r="16" spans="1:4" x14ac:dyDescent="0.15">
      <c r="B16" s="12"/>
    </row>
    <row r="17" spans="2:2" x14ac:dyDescent="0.15">
      <c r="B17" s="12"/>
    </row>
    <row r="18" spans="2:2" x14ac:dyDescent="0.15">
      <c r="B18" s="12"/>
    </row>
    <row r="19" spans="2:2" x14ac:dyDescent="0.15">
      <c r="B19" s="12"/>
    </row>
    <row r="20" spans="2:2" x14ac:dyDescent="0.15">
      <c r="B20" s="12"/>
    </row>
    <row r="21" spans="2:2" x14ac:dyDescent="0.15">
      <c r="B21" s="1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Settings</vt:lpstr>
      <vt:lpstr>Vessels</vt:lpstr>
      <vt:lpstr>CrudeReceipts</vt:lpstr>
      <vt:lpstr>RuningOps</vt:lpstr>
      <vt:lpstr>PreSchOps</vt:lpstr>
      <vt:lpstr>Crudes</vt:lpstr>
      <vt:lpstr>Tanks</vt:lpstr>
      <vt:lpstr>CDUs</vt:lpstr>
      <vt:lpstr>Pipelines</vt:lpstr>
      <vt:lpstr>Operations</vt:lpstr>
      <vt:lpstr>Card</vt:lpstr>
      <vt:lpstr>Plots</vt:lpstr>
      <vt:lpstr>CBlends</vt:lpstr>
      <vt:lpstr>PP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enh</dc:creator>
  <cp:lastModifiedBy>i-Steam-2</cp:lastModifiedBy>
  <dcterms:created xsi:type="dcterms:W3CDTF">2017-03-22T06:40:04Z</dcterms:created>
  <dcterms:modified xsi:type="dcterms:W3CDTF">2018-04-26T09:46:11Z</dcterms:modified>
</cp:coreProperties>
</file>