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0490" windowHeight="9255" tabRatio="724" activeTab="7"/>
  </bookViews>
  <sheets>
    <sheet name="Settings" sheetId="8" r:id="rId1"/>
    <sheet name="Vessels" sheetId="1" r:id="rId2"/>
    <sheet name="CrudeReceipts" sheetId="6" r:id="rId3"/>
    <sheet name="Tanks" sheetId="2" r:id="rId4"/>
    <sheet name="Pipelines" sheetId="3" r:id="rId5"/>
    <sheet name="CDUs" sheetId="4" r:id="rId6"/>
    <sheet name="Operations" sheetId="9" r:id="rId7"/>
    <sheet name="StartPoint" sheetId="11" r:id="rId8"/>
    <sheet name="Crudes" sheetId="5" r:id="rId9"/>
    <sheet name="CBlends" sheetId="7" r:id="rId10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2" i="2"/>
  <c r="J3" i="2"/>
  <c r="J4" i="2"/>
  <c r="J5" i="2"/>
  <c r="J6" i="2"/>
  <c r="J7" i="2"/>
  <c r="J8" i="2"/>
  <c r="J2" i="2"/>
  <c r="L6" i="3" l="1"/>
  <c r="L2" i="3"/>
  <c r="N2" i="3"/>
  <c r="H3" i="3" l="1"/>
  <c r="G3" i="3"/>
  <c r="H2" i="3" l="1"/>
</calcChain>
</file>

<file path=xl/sharedStrings.xml><?xml version="1.0" encoding="utf-8"?>
<sst xmlns="http://schemas.openxmlformats.org/spreadsheetml/2006/main" count="268" uniqueCount="99">
  <si>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</si>
  <si>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</si>
  <si>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</si>
  <si>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</si>
  <si>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</si>
  <si>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</si>
  <si>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</si>
  <si>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</si>
  <si>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</si>
  <si>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</si>
  <si>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</si>
  <si>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</si>
  <si>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</si>
  <si>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</si>
  <si>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</si>
  <si>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</si>
  <si>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</si>
  <si>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</si>
  <si>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</si>
  <si>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</si>
  <si>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开始时间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</si>
  <si>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</si>
  <si>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</si>
  <si>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</si>
  <si>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</si>
  <si>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</si>
  <si>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</si>
  <si>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</si>
  <si>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</si>
  <si>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芒都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</si>
  <si>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</si>
  <si>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</si>
  <si>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</si>
  <si>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</si>
  <si>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</si>
  <si>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硫含量
[%]</t>
    <phoneticPr fontId="1" type="noConversion"/>
  </si>
  <si>
    <t>酸值</t>
    <phoneticPr fontId="1" type="noConversion"/>
  </si>
  <si>
    <t>吨油效益
[元]</t>
    <phoneticPr fontId="1" type="noConversion"/>
  </si>
  <si>
    <t>编号</t>
    <phoneticPr fontId="1" type="noConversion"/>
  </si>
  <si>
    <t>结束时间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</si>
  <si>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</si>
  <si>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</si>
  <si>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</si>
  <si>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</si>
  <si>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</si>
  <si>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</si>
  <si>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</si>
  <si>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</si>
  <si>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PL1</t>
    <phoneticPr fontId="1" type="noConversion"/>
  </si>
  <si>
    <t>PL2</t>
    <phoneticPr fontId="1" type="noConversion"/>
  </si>
  <si>
    <t>大港至原油罐区</t>
    <phoneticPr fontId="1" type="noConversion"/>
  </si>
  <si>
    <t>20170603 16:00</t>
    <phoneticPr fontId="1" type="noConversion"/>
  </si>
  <si>
    <t>20170106 06:00</t>
    <phoneticPr fontId="1" type="noConversion"/>
  </si>
  <si>
    <t>启用</t>
    <phoneticPr fontId="1" type="noConversion"/>
  </si>
  <si>
    <t>CR2</t>
    <phoneticPr fontId="1" type="noConversion"/>
  </si>
  <si>
    <t>MaxIn</t>
    <phoneticPr fontId="1" type="noConversion"/>
  </si>
  <si>
    <t>MaxOut</t>
    <phoneticPr fontId="1" type="noConversion"/>
  </si>
  <si>
    <t>CR3</t>
  </si>
  <si>
    <t>G101</t>
    <phoneticPr fontId="1" type="noConversion"/>
  </si>
  <si>
    <t>G181</t>
    <phoneticPr fontId="1" type="noConversion"/>
  </si>
  <si>
    <t>G181,G182</t>
    <phoneticPr fontId="1" type="noConversion"/>
  </si>
  <si>
    <t>G182,G183</t>
    <phoneticPr fontId="1" type="noConversion"/>
  </si>
  <si>
    <t>G183,G184</t>
    <phoneticPr fontId="1" type="noConversion"/>
  </si>
  <si>
    <t>G181,G183</t>
    <phoneticPr fontId="1" type="noConversion"/>
  </si>
  <si>
    <t>G181,G184</t>
  </si>
  <si>
    <t>G182,G184</t>
    <phoneticPr fontId="1" type="noConversion"/>
  </si>
  <si>
    <t>G102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</si>
  <si>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</si>
  <si>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</si>
  <si>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</si>
  <si>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t>G181,G182,G183</t>
    <phoneticPr fontId="1" type="noConversion"/>
  </si>
  <si>
    <t>G181,G182,G184</t>
    <phoneticPr fontId="1" type="noConversion"/>
  </si>
  <si>
    <t>G181,G183,G184</t>
    <phoneticPr fontId="1" type="noConversion"/>
  </si>
  <si>
    <t>G182,G183,G184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</si>
  <si>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</si>
  <si>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</si>
  <si>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</si>
  <si>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</si>
  <si>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</si>
  <si>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</si>
  <si>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检尺总高
[m]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</si>
  <si>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</si>
  <si>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</si>
  <si>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</si>
  <si>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CR1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</si>
  <si>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</si>
  <si>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</si>
  <si>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</si>
  <si>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</si>
  <si>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最小操作时长[小时]</t>
    <phoneticPr fontId="1" type="noConversion"/>
  </si>
  <si>
    <t>最小操作时长
[小时]</t>
    <phoneticPr fontId="1" type="noConversion"/>
  </si>
  <si>
    <t>类型</t>
    <phoneticPr fontId="1" type="noConversion"/>
  </si>
  <si>
    <t>WD</t>
    <phoneticPr fontId="1" type="noConversion"/>
  </si>
  <si>
    <t>WB</t>
  </si>
  <si>
    <t>WU</t>
    <phoneticPr fontId="1" type="noConversion"/>
  </si>
  <si>
    <t>时间段数</t>
    <phoneticPr fontId="1" type="noConversion"/>
  </si>
  <si>
    <t>剩余时长
[]</t>
    <phoneticPr fontId="1" type="noConversion"/>
  </si>
  <si>
    <t>剩余量
[]</t>
    <phoneticPr fontId="1" type="noConversion"/>
  </si>
  <si>
    <t>调整
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</si>
</sst>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3" sqref="D3"/>
    </sheetView>
  </sheetViews>
  <sheetFormatPr defaultRowHeight="12" x14ac:dyDescent="0.15"/>
  <cols>
    <col min="1" max="1" width="17.7109375" customWidth="1"/>
    <col min="2" max="2" width="15.5703125" customWidth="1"/>
    <col min="3" max="3" width="12.7109375" customWidth="1"/>
  </cols>
  <sheetData>
    <row r="1" spans="1:4" x14ac:dyDescent="0.15">
      <c r="A1" s="3" t="s">
        <v>20</v>
      </c>
      <c r="B1" s="3" t="s">
        <v>39</v>
      </c>
      <c r="C1" s="3" t="s">
        <v>40</v>
      </c>
      <c r="D1" s="3" t="s">
        <v>95</v>
      </c>
    </row>
    <row r="2" spans="1:4" x14ac:dyDescent="0.15">
      <c r="A2" s="3">
        <v>20170601</v>
      </c>
      <c r="B2" s="3">
        <v>20170607</v>
      </c>
      <c r="C2" s="3">
        <v>8</v>
      </c>
      <c r="D2" s="3">
        <v>9</v>
      </c>
    </row>
    <row r="4" spans="1:4" x14ac:dyDescent="0.15">
      <c r="A4" t="s">
        <v>89</v>
      </c>
      <c r="B4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C21" sqref="C21"/>
    </sheetView>
  </sheetViews>
  <sheetFormatPr defaultRowHeight="12" x14ac:dyDescent="0.15"/>
  <cols>
    <col min="3" max="3" width="12.85546875" customWidth="1"/>
    <col min="4" max="4" width="13.28515625" customWidth="1"/>
  </cols>
  <sheetData>
    <row r="1" spans="1:5" ht="24" x14ac:dyDescent="0.15">
      <c r="A1" s="1" t="s">
        <v>21</v>
      </c>
      <c r="B1" s="1" t="s">
        <v>22</v>
      </c>
      <c r="C1" s="1" t="s">
        <v>30</v>
      </c>
      <c r="D1" s="2" t="s">
        <v>31</v>
      </c>
      <c r="E1" s="2" t="s">
        <v>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selection activeCell="B4" sqref="B4"/>
    </sheetView>
  </sheetViews>
  <sheetFormatPr defaultRowHeight="12" x14ac:dyDescent="0.15"/>
  <cols>
    <col min="3" max="3" width="15.7109375" customWidth="1"/>
    <col min="4" max="4" width="15.42578125" customWidth="1"/>
  </cols>
  <sheetData>
    <row r="1" spans="1:9" ht="24.75" customHeight="1" x14ac:dyDescent="0.15">
      <c r="A1" s="5" t="s">
        <v>21</v>
      </c>
      <c r="B1" s="5" t="s">
        <v>22</v>
      </c>
      <c r="C1" s="5" t="s">
        <v>23</v>
      </c>
      <c r="D1" s="6" t="s">
        <v>24</v>
      </c>
      <c r="E1" s="6" t="s">
        <v>25</v>
      </c>
      <c r="F1" s="6" t="s">
        <v>83</v>
      </c>
      <c r="G1" s="6" t="s">
        <v>26</v>
      </c>
      <c r="H1" s="6" t="s">
        <v>27</v>
      </c>
      <c r="I1" s="6" t="s">
        <v>28</v>
      </c>
    </row>
    <row r="2" spans="1:9" x14ac:dyDescent="0.15">
      <c r="A2" s="3" t="s">
        <v>84</v>
      </c>
      <c r="B2" s="3" t="s">
        <v>29</v>
      </c>
      <c r="C2" s="3" t="s">
        <v>51</v>
      </c>
      <c r="D2" s="3" t="s">
        <v>52</v>
      </c>
      <c r="E2" s="3">
        <v>33000</v>
      </c>
      <c r="F2" s="3"/>
      <c r="G2" s="3">
        <v>0.65</v>
      </c>
      <c r="H2" s="3">
        <v>0.78</v>
      </c>
      <c r="I2" s="3">
        <v>29.23</v>
      </c>
    </row>
    <row r="3" spans="1:9" x14ac:dyDescent="0.15">
      <c r="A3" s="3" t="s">
        <v>54</v>
      </c>
    </row>
    <row r="4" spans="1:9" x14ac:dyDescent="0.15">
      <c r="A4" s="3" t="s">
        <v>57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L6" sqref="L6"/>
    </sheetView>
  </sheetViews>
  <sheetFormatPr defaultRowHeight="12" x14ac:dyDescent="0.15"/>
  <cols>
    <col min="2" max="2" width="8" customWidth="1"/>
    <col min="3" max="3" width="5.570312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1.28515625" customWidth="1"/>
  </cols>
  <sheetData>
    <row r="1" spans="1:12" ht="25.5" customHeight="1" x14ac:dyDescent="0.15">
      <c r="A1" s="1" t="s">
        <v>5</v>
      </c>
      <c r="B1" s="1" t="s">
        <v>13</v>
      </c>
      <c r="C1" s="2" t="s">
        <v>53</v>
      </c>
      <c r="D1" s="2" t="s">
        <v>79</v>
      </c>
      <c r="E1" s="2" t="s">
        <v>80</v>
      </c>
      <c r="F1" s="2" t="s">
        <v>76</v>
      </c>
      <c r="G1" s="2" t="s">
        <v>77</v>
      </c>
      <c r="H1" s="2" t="s">
        <v>19</v>
      </c>
      <c r="I1" s="2" t="s">
        <v>78</v>
      </c>
      <c r="J1" s="2" t="s">
        <v>81</v>
      </c>
      <c r="K1" s="2" t="s">
        <v>82</v>
      </c>
      <c r="L1" s="2" t="s">
        <v>88</v>
      </c>
    </row>
    <row r="2" spans="1:12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</row>
    <row r="3" spans="1:12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</row>
    <row r="4" spans="1:12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</row>
    <row r="5" spans="1:12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</row>
    <row r="6" spans="1:12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</row>
    <row r="7" spans="1:12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</row>
    <row r="8" spans="1:12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workbookViewId="0">
      <selection activeCell="F13" sqref="F13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4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74</v>
      </c>
      <c r="H1" s="2" t="s">
        <v>75</v>
      </c>
      <c r="I1" s="2" t="s">
        <v>55</v>
      </c>
      <c r="J1" s="2" t="s">
        <v>56</v>
      </c>
    </row>
    <row r="2" spans="1:14" ht="13.5" customHeight="1" x14ac:dyDescent="0.15">
      <c r="A2" s="3" t="s">
        <v>48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  <c r="L2">
        <f>H2*24</f>
        <v>21984</v>
      </c>
      <c r="M2">
        <v>12000</v>
      </c>
      <c r="N2">
        <f>M2/800</f>
        <v>15</v>
      </c>
    </row>
    <row r="3" spans="1:14" ht="13.5" customHeight="1" x14ac:dyDescent="0.15">
      <c r="A3" s="3" t="s">
        <v>49</v>
      </c>
      <c r="B3" s="4" t="s">
        <v>50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4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4" ht="13.5" customHeight="1" x14ac:dyDescent="0.15"/>
    <row r="6" spans="1:14" ht="13.5" customHeight="1" x14ac:dyDescent="0.15">
      <c r="G6">
        <v>450</v>
      </c>
      <c r="L6">
        <f>G6*24*0.9</f>
        <v>9720</v>
      </c>
    </row>
    <row r="7" spans="1:14" ht="13.5" customHeight="1" x14ac:dyDescent="0.15"/>
    <row r="8" spans="1:14" ht="13.5" customHeight="1" x14ac:dyDescent="0.15"/>
    <row r="9" spans="1:14" ht="13.5" customHeight="1" x14ac:dyDescent="0.15"/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G11" sqref="G11"/>
    </sheetView>
  </sheetViews>
  <sheetFormatPr defaultRowHeight="12" x14ac:dyDescent="0.15"/>
  <sheetData>
    <row r="1" spans="1:10" ht="31.5" customHeight="1" x14ac:dyDescent="0.15">
      <c r="A1" s="1" t="s">
        <v>38</v>
      </c>
      <c r="B1" s="2" t="s">
        <v>86</v>
      </c>
      <c r="C1" s="2" t="s">
        <v>87</v>
      </c>
      <c r="D1" s="2" t="s">
        <v>41</v>
      </c>
      <c r="E1" s="2"/>
      <c r="F1" s="2"/>
      <c r="G1" s="2"/>
      <c r="H1" s="2"/>
      <c r="I1" s="2"/>
      <c r="J1" s="2"/>
    </row>
    <row r="2" spans="1:10" x14ac:dyDescent="0.15">
      <c r="A2" s="3" t="s">
        <v>32</v>
      </c>
      <c r="B2" s="3">
        <v>8000</v>
      </c>
      <c r="C2" s="3">
        <v>8000</v>
      </c>
      <c r="D2" s="3">
        <v>1</v>
      </c>
      <c r="E2" s="3"/>
      <c r="F2" s="3"/>
      <c r="G2" s="3"/>
      <c r="H2" s="3"/>
      <c r="I2" s="3"/>
      <c r="J2" s="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8"/>
  <sheetViews>
    <sheetView workbookViewId="0">
      <selection activeCell="C5" sqref="C5"/>
    </sheetView>
  </sheetViews>
  <sheetFormatPr defaultRowHeight="12" x14ac:dyDescent="0.15"/>
  <cols>
    <col min="2" max="2" width="16.42578125" customWidth="1"/>
    <col min="3" max="3" width="10.85546875" customWidth="1"/>
    <col min="4" max="4" width="6.28515625" customWidth="1"/>
    <col min="5" max="5" width="12.28515625" customWidth="1"/>
  </cols>
  <sheetData>
    <row r="1" spans="1:5" ht="24" customHeight="1" x14ac:dyDescent="0.15">
      <c r="A1" s="1" t="s">
        <v>47</v>
      </c>
      <c r="B1" s="1" t="s">
        <v>42</v>
      </c>
      <c r="C1" s="1" t="s">
        <v>43</v>
      </c>
      <c r="D1" s="1" t="s">
        <v>91</v>
      </c>
      <c r="E1" s="2" t="s">
        <v>90</v>
      </c>
    </row>
    <row r="2" spans="1:5" x14ac:dyDescent="0.15">
      <c r="A2">
        <v>1</v>
      </c>
      <c r="B2" s="3" t="s">
        <v>44</v>
      </c>
      <c r="C2" s="3" t="s">
        <v>46</v>
      </c>
      <c r="D2" s="3" t="s">
        <v>92</v>
      </c>
      <c r="E2" s="3"/>
    </row>
    <row r="3" spans="1:5" x14ac:dyDescent="0.15">
      <c r="A3">
        <v>2</v>
      </c>
      <c r="B3" s="3" t="s">
        <v>11</v>
      </c>
      <c r="C3" s="3" t="s">
        <v>46</v>
      </c>
      <c r="D3" s="3" t="s">
        <v>92</v>
      </c>
      <c r="E3" s="3"/>
    </row>
    <row r="4" spans="1:5" x14ac:dyDescent="0.15">
      <c r="A4">
        <v>3</v>
      </c>
      <c r="B4" s="3" t="s">
        <v>45</v>
      </c>
      <c r="C4" s="3" t="s">
        <v>46</v>
      </c>
      <c r="D4" s="3" t="s">
        <v>92</v>
      </c>
      <c r="E4" s="3"/>
    </row>
    <row r="5" spans="1:5" x14ac:dyDescent="0.15">
      <c r="A5">
        <v>4</v>
      </c>
      <c r="B5" s="3" t="s">
        <v>59</v>
      </c>
      <c r="C5" s="3" t="s">
        <v>58</v>
      </c>
      <c r="D5" s="3" t="s">
        <v>93</v>
      </c>
      <c r="E5" s="3"/>
    </row>
    <row r="6" spans="1:5" x14ac:dyDescent="0.15">
      <c r="A6">
        <v>5</v>
      </c>
      <c r="B6" s="3" t="s">
        <v>7</v>
      </c>
      <c r="C6" s="3" t="s">
        <v>58</v>
      </c>
      <c r="D6" s="3" t="s">
        <v>93</v>
      </c>
      <c r="E6" s="3"/>
    </row>
    <row r="7" spans="1:5" x14ac:dyDescent="0.15">
      <c r="A7">
        <v>6</v>
      </c>
      <c r="B7" s="3" t="s">
        <v>8</v>
      </c>
      <c r="C7" s="3" t="s">
        <v>58</v>
      </c>
      <c r="D7" s="3" t="s">
        <v>93</v>
      </c>
      <c r="E7" s="3"/>
    </row>
    <row r="8" spans="1:5" x14ac:dyDescent="0.15">
      <c r="A8">
        <v>7</v>
      </c>
      <c r="B8" s="3" t="s">
        <v>9</v>
      </c>
      <c r="C8" s="3" t="s">
        <v>58</v>
      </c>
      <c r="D8" s="3" t="s">
        <v>93</v>
      </c>
      <c r="E8" s="3"/>
    </row>
    <row r="9" spans="1:5" x14ac:dyDescent="0.15">
      <c r="A9">
        <v>8</v>
      </c>
      <c r="B9" s="3" t="s">
        <v>59</v>
      </c>
      <c r="C9" s="3" t="s">
        <v>11</v>
      </c>
      <c r="D9" s="3" t="s">
        <v>93</v>
      </c>
      <c r="E9" s="3"/>
    </row>
    <row r="10" spans="1:5" x14ac:dyDescent="0.15">
      <c r="A10">
        <v>9</v>
      </c>
      <c r="B10" s="3" t="s">
        <v>7</v>
      </c>
      <c r="C10" s="3" t="s">
        <v>11</v>
      </c>
      <c r="D10" s="3" t="s">
        <v>93</v>
      </c>
      <c r="E10" s="3"/>
    </row>
    <row r="11" spans="1:5" x14ac:dyDescent="0.15">
      <c r="A11">
        <v>10</v>
      </c>
      <c r="B11" s="3" t="s">
        <v>8</v>
      </c>
      <c r="C11" s="3" t="s">
        <v>11</v>
      </c>
      <c r="D11" s="3" t="s">
        <v>93</v>
      </c>
      <c r="E11" s="3"/>
    </row>
    <row r="12" spans="1:5" x14ac:dyDescent="0.15">
      <c r="A12">
        <v>11</v>
      </c>
      <c r="B12" s="3" t="s">
        <v>9</v>
      </c>
      <c r="C12" s="3" t="s">
        <v>11</v>
      </c>
      <c r="D12" s="3" t="s">
        <v>93</v>
      </c>
      <c r="E12" s="3"/>
    </row>
    <row r="13" spans="1:5" x14ac:dyDescent="0.15">
      <c r="A13">
        <v>12</v>
      </c>
      <c r="B13" s="3" t="s">
        <v>59</v>
      </c>
      <c r="C13" s="3" t="s">
        <v>45</v>
      </c>
      <c r="D13" s="3" t="s">
        <v>93</v>
      </c>
      <c r="E13" s="3"/>
    </row>
    <row r="14" spans="1:5" x14ac:dyDescent="0.15">
      <c r="A14">
        <v>13</v>
      </c>
      <c r="B14" s="3" t="s">
        <v>7</v>
      </c>
      <c r="C14" s="3" t="s">
        <v>45</v>
      </c>
      <c r="D14" s="3" t="s">
        <v>93</v>
      </c>
      <c r="E14" s="3"/>
    </row>
    <row r="15" spans="1:5" x14ac:dyDescent="0.15">
      <c r="A15">
        <v>14</v>
      </c>
      <c r="B15" s="3" t="s">
        <v>8</v>
      </c>
      <c r="C15" s="3" t="s">
        <v>45</v>
      </c>
      <c r="D15" s="3" t="s">
        <v>93</v>
      </c>
      <c r="E15" s="3"/>
    </row>
    <row r="16" spans="1:5" x14ac:dyDescent="0.15">
      <c r="A16">
        <v>15</v>
      </c>
      <c r="B16" s="3" t="s">
        <v>9</v>
      </c>
      <c r="C16" s="3" t="s">
        <v>45</v>
      </c>
      <c r="D16" s="3" t="s">
        <v>93</v>
      </c>
      <c r="E16" s="3"/>
    </row>
    <row r="17" spans="1:5" x14ac:dyDescent="0.15">
      <c r="A17">
        <v>16</v>
      </c>
      <c r="B17" s="3" t="s">
        <v>60</v>
      </c>
      <c r="C17" s="3" t="s">
        <v>58</v>
      </c>
      <c r="D17" s="3" t="s">
        <v>93</v>
      </c>
      <c r="E17" s="3"/>
    </row>
    <row r="18" spans="1:5" x14ac:dyDescent="0.15">
      <c r="A18">
        <v>17</v>
      </c>
      <c r="B18" s="3" t="s">
        <v>63</v>
      </c>
      <c r="C18" s="3" t="s">
        <v>58</v>
      </c>
      <c r="D18" s="3" t="s">
        <v>93</v>
      </c>
      <c r="E18" s="3"/>
    </row>
    <row r="19" spans="1:5" x14ac:dyDescent="0.15">
      <c r="A19">
        <v>18</v>
      </c>
      <c r="B19" s="3" t="s">
        <v>64</v>
      </c>
      <c r="C19" s="3" t="s">
        <v>58</v>
      </c>
      <c r="D19" s="3" t="s">
        <v>93</v>
      </c>
      <c r="E19" s="3"/>
    </row>
    <row r="20" spans="1:5" x14ac:dyDescent="0.15">
      <c r="A20">
        <v>19</v>
      </c>
      <c r="B20" s="3" t="s">
        <v>61</v>
      </c>
      <c r="C20" s="3" t="s">
        <v>58</v>
      </c>
      <c r="D20" s="3" t="s">
        <v>93</v>
      </c>
      <c r="E20" s="3"/>
    </row>
    <row r="21" spans="1:5" x14ac:dyDescent="0.15">
      <c r="A21">
        <v>20</v>
      </c>
      <c r="B21" s="3" t="s">
        <v>65</v>
      </c>
      <c r="C21" s="3" t="s">
        <v>58</v>
      </c>
      <c r="D21" s="3" t="s">
        <v>93</v>
      </c>
      <c r="E21" s="3"/>
    </row>
    <row r="22" spans="1:5" x14ac:dyDescent="0.15">
      <c r="A22">
        <v>21</v>
      </c>
      <c r="B22" s="3" t="s">
        <v>62</v>
      </c>
      <c r="C22" s="3" t="s">
        <v>58</v>
      </c>
      <c r="D22" s="3" t="s">
        <v>93</v>
      </c>
      <c r="E22" s="3"/>
    </row>
    <row r="23" spans="1:5" x14ac:dyDescent="0.15">
      <c r="A23">
        <v>22</v>
      </c>
      <c r="B23" s="3" t="s">
        <v>60</v>
      </c>
      <c r="C23" s="3" t="s">
        <v>66</v>
      </c>
      <c r="D23" s="3" t="s">
        <v>93</v>
      </c>
      <c r="E23" s="3"/>
    </row>
    <row r="24" spans="1:5" x14ac:dyDescent="0.15">
      <c r="A24">
        <v>23</v>
      </c>
      <c r="B24" s="3" t="s">
        <v>63</v>
      </c>
      <c r="C24" s="3" t="s">
        <v>66</v>
      </c>
      <c r="D24" s="3" t="s">
        <v>93</v>
      </c>
      <c r="E24" s="3"/>
    </row>
    <row r="25" spans="1:5" x14ac:dyDescent="0.15">
      <c r="A25">
        <v>24</v>
      </c>
      <c r="B25" s="3" t="s">
        <v>64</v>
      </c>
      <c r="C25" s="3" t="s">
        <v>66</v>
      </c>
      <c r="D25" s="3" t="s">
        <v>93</v>
      </c>
      <c r="E25" s="3"/>
    </row>
    <row r="26" spans="1:5" x14ac:dyDescent="0.15">
      <c r="A26">
        <v>25</v>
      </c>
      <c r="B26" s="3" t="s">
        <v>61</v>
      </c>
      <c r="C26" s="3" t="s">
        <v>66</v>
      </c>
      <c r="D26" s="3" t="s">
        <v>93</v>
      </c>
      <c r="E26" s="3"/>
    </row>
    <row r="27" spans="1:5" x14ac:dyDescent="0.15">
      <c r="A27">
        <v>26</v>
      </c>
      <c r="B27" s="3" t="s">
        <v>65</v>
      </c>
      <c r="C27" s="3" t="s">
        <v>11</v>
      </c>
      <c r="D27" s="3" t="s">
        <v>93</v>
      </c>
      <c r="E27" s="3"/>
    </row>
    <row r="28" spans="1:5" x14ac:dyDescent="0.15">
      <c r="A28">
        <v>27</v>
      </c>
      <c r="B28" s="3" t="s">
        <v>62</v>
      </c>
      <c r="C28" s="3" t="s">
        <v>11</v>
      </c>
      <c r="D28" s="3" t="s">
        <v>93</v>
      </c>
      <c r="E28" s="3"/>
    </row>
    <row r="29" spans="1:5" x14ac:dyDescent="0.15">
      <c r="A29">
        <v>28</v>
      </c>
      <c r="B29" s="3" t="s">
        <v>60</v>
      </c>
      <c r="C29" s="3" t="s">
        <v>45</v>
      </c>
      <c r="D29" s="3" t="s">
        <v>93</v>
      </c>
      <c r="E29" s="3"/>
    </row>
    <row r="30" spans="1:5" x14ac:dyDescent="0.15">
      <c r="A30">
        <v>29</v>
      </c>
      <c r="B30" s="3" t="s">
        <v>63</v>
      </c>
      <c r="C30" s="3" t="s">
        <v>45</v>
      </c>
      <c r="D30" s="3" t="s">
        <v>93</v>
      </c>
      <c r="E30" s="3"/>
    </row>
    <row r="31" spans="1:5" x14ac:dyDescent="0.15">
      <c r="A31">
        <v>30</v>
      </c>
      <c r="B31" s="3" t="s">
        <v>64</v>
      </c>
      <c r="C31" s="3" t="s">
        <v>45</v>
      </c>
      <c r="D31" s="3" t="s">
        <v>93</v>
      </c>
      <c r="E31" s="3"/>
    </row>
    <row r="32" spans="1:5" x14ac:dyDescent="0.15">
      <c r="A32">
        <v>31</v>
      </c>
      <c r="B32" s="3" t="s">
        <v>61</v>
      </c>
      <c r="C32" s="3" t="s">
        <v>45</v>
      </c>
      <c r="D32" s="3" t="s">
        <v>93</v>
      </c>
      <c r="E32" s="3"/>
    </row>
    <row r="33" spans="1:5" x14ac:dyDescent="0.15">
      <c r="A33">
        <v>32</v>
      </c>
      <c r="B33" s="3" t="s">
        <v>65</v>
      </c>
      <c r="C33" s="3" t="s">
        <v>45</v>
      </c>
      <c r="D33" s="3" t="s">
        <v>93</v>
      </c>
      <c r="E33" s="3"/>
    </row>
    <row r="34" spans="1:5" x14ac:dyDescent="0.15">
      <c r="A34">
        <v>33</v>
      </c>
      <c r="B34" s="3" t="s">
        <v>62</v>
      </c>
      <c r="C34" s="3" t="s">
        <v>45</v>
      </c>
      <c r="D34" s="3" t="s">
        <v>93</v>
      </c>
      <c r="E34" s="3"/>
    </row>
    <row r="35" spans="1:5" x14ac:dyDescent="0.15">
      <c r="A35">
        <v>34</v>
      </c>
      <c r="B35" s="3" t="s">
        <v>70</v>
      </c>
      <c r="C35" s="3" t="s">
        <v>58</v>
      </c>
      <c r="D35" s="3" t="s">
        <v>93</v>
      </c>
      <c r="E35" s="3"/>
    </row>
    <row r="36" spans="1:5" x14ac:dyDescent="0.15">
      <c r="A36">
        <v>35</v>
      </c>
      <c r="B36" s="3" t="s">
        <v>71</v>
      </c>
      <c r="C36" s="3" t="s">
        <v>58</v>
      </c>
      <c r="D36" s="3" t="s">
        <v>93</v>
      </c>
      <c r="E36" s="3"/>
    </row>
    <row r="37" spans="1:5" x14ac:dyDescent="0.15">
      <c r="A37">
        <v>36</v>
      </c>
      <c r="B37" s="3" t="s">
        <v>72</v>
      </c>
      <c r="C37" s="3" t="s">
        <v>58</v>
      </c>
      <c r="D37" s="3" t="s">
        <v>93</v>
      </c>
      <c r="E37" s="3"/>
    </row>
    <row r="38" spans="1:5" x14ac:dyDescent="0.15">
      <c r="A38">
        <v>37</v>
      </c>
      <c r="B38" s="3" t="s">
        <v>73</v>
      </c>
      <c r="C38" s="3" t="s">
        <v>58</v>
      </c>
      <c r="D38" s="3" t="s">
        <v>93</v>
      </c>
      <c r="E38" s="3"/>
    </row>
    <row r="39" spans="1:5" x14ac:dyDescent="0.15">
      <c r="A39">
        <v>38</v>
      </c>
      <c r="B39" s="3" t="s">
        <v>70</v>
      </c>
      <c r="C39" s="3" t="s">
        <v>11</v>
      </c>
      <c r="D39" s="3" t="s">
        <v>93</v>
      </c>
      <c r="E39" s="3"/>
    </row>
    <row r="40" spans="1:5" x14ac:dyDescent="0.15">
      <c r="A40">
        <v>39</v>
      </c>
      <c r="B40" s="3" t="s">
        <v>71</v>
      </c>
      <c r="C40" s="3" t="s">
        <v>11</v>
      </c>
      <c r="D40" s="3" t="s">
        <v>93</v>
      </c>
      <c r="E40" s="3"/>
    </row>
    <row r="41" spans="1:5" x14ac:dyDescent="0.15">
      <c r="A41">
        <v>40</v>
      </c>
      <c r="B41" s="3" t="s">
        <v>72</v>
      </c>
      <c r="C41" s="3" t="s">
        <v>11</v>
      </c>
      <c r="D41" s="3" t="s">
        <v>93</v>
      </c>
      <c r="E41" s="3"/>
    </row>
    <row r="42" spans="1:5" x14ac:dyDescent="0.15">
      <c r="A42">
        <v>41</v>
      </c>
      <c r="B42" s="3" t="s">
        <v>73</v>
      </c>
      <c r="C42" s="3" t="s">
        <v>11</v>
      </c>
      <c r="D42" s="3" t="s">
        <v>93</v>
      </c>
      <c r="E42" s="3"/>
    </row>
    <row r="43" spans="1:5" x14ac:dyDescent="0.15">
      <c r="A43">
        <v>42</v>
      </c>
      <c r="B43" s="3" t="s">
        <v>70</v>
      </c>
      <c r="C43" s="3" t="s">
        <v>45</v>
      </c>
      <c r="D43" s="3" t="s">
        <v>93</v>
      </c>
      <c r="E43" s="3"/>
    </row>
    <row r="44" spans="1:5" x14ac:dyDescent="0.15">
      <c r="A44">
        <v>43</v>
      </c>
      <c r="B44" s="3" t="s">
        <v>71</v>
      </c>
      <c r="C44" s="3" t="s">
        <v>45</v>
      </c>
      <c r="D44" s="3" t="s">
        <v>93</v>
      </c>
      <c r="E44" s="3"/>
    </row>
    <row r="45" spans="1:5" x14ac:dyDescent="0.15">
      <c r="A45">
        <v>44</v>
      </c>
      <c r="B45" s="3" t="s">
        <v>72</v>
      </c>
      <c r="C45" s="3" t="s">
        <v>45</v>
      </c>
      <c r="D45" s="3" t="s">
        <v>93</v>
      </c>
      <c r="E45" s="3"/>
    </row>
    <row r="46" spans="1:5" x14ac:dyDescent="0.15">
      <c r="A46">
        <v>45</v>
      </c>
      <c r="B46" s="3" t="s">
        <v>73</v>
      </c>
      <c r="C46" s="3" t="s">
        <v>45</v>
      </c>
      <c r="D46" s="3" t="s">
        <v>93</v>
      </c>
      <c r="E46" s="3"/>
    </row>
    <row r="47" spans="1:5" x14ac:dyDescent="0.15">
      <c r="A47">
        <v>46</v>
      </c>
      <c r="B47" s="4" t="s">
        <v>67</v>
      </c>
      <c r="C47" s="4" t="s">
        <v>59</v>
      </c>
      <c r="D47" s="4" t="s">
        <v>94</v>
      </c>
      <c r="E47" s="3"/>
    </row>
    <row r="48" spans="1:5" x14ac:dyDescent="0.15">
      <c r="A48">
        <v>47</v>
      </c>
      <c r="B48" s="4" t="s">
        <v>67</v>
      </c>
      <c r="C48" s="4" t="s">
        <v>7</v>
      </c>
      <c r="D48" s="4" t="s">
        <v>94</v>
      </c>
      <c r="E48" s="3"/>
    </row>
    <row r="49" spans="1:5" x14ac:dyDescent="0.15">
      <c r="A49">
        <v>48</v>
      </c>
      <c r="B49" s="4" t="s">
        <v>67</v>
      </c>
      <c r="C49" s="4" t="s">
        <v>8</v>
      </c>
      <c r="D49" s="4" t="s">
        <v>94</v>
      </c>
      <c r="E49" s="3"/>
    </row>
    <row r="50" spans="1:5" x14ac:dyDescent="0.15">
      <c r="A50">
        <v>49</v>
      </c>
      <c r="B50" s="4" t="s">
        <v>67</v>
      </c>
      <c r="C50" s="4" t="s">
        <v>9</v>
      </c>
      <c r="D50" s="4" t="s">
        <v>94</v>
      </c>
      <c r="E50" s="3"/>
    </row>
    <row r="51" spans="1:5" x14ac:dyDescent="0.15">
      <c r="A51">
        <v>50</v>
      </c>
      <c r="B51" s="4" t="s">
        <v>68</v>
      </c>
      <c r="C51" s="4" t="s">
        <v>59</v>
      </c>
      <c r="D51" s="4" t="s">
        <v>94</v>
      </c>
      <c r="E51" s="3"/>
    </row>
    <row r="52" spans="1:5" x14ac:dyDescent="0.15">
      <c r="A52">
        <v>51</v>
      </c>
      <c r="B52" s="4" t="s">
        <v>68</v>
      </c>
      <c r="C52" s="4" t="s">
        <v>7</v>
      </c>
      <c r="D52" s="4" t="s">
        <v>94</v>
      </c>
      <c r="E52" s="3"/>
    </row>
    <row r="53" spans="1:5" x14ac:dyDescent="0.15">
      <c r="A53">
        <v>52</v>
      </c>
      <c r="B53" s="4" t="s">
        <v>68</v>
      </c>
      <c r="C53" s="4" t="s">
        <v>8</v>
      </c>
      <c r="D53" s="4" t="s">
        <v>94</v>
      </c>
      <c r="E53" s="3"/>
    </row>
    <row r="54" spans="1:5" x14ac:dyDescent="0.15">
      <c r="A54">
        <v>53</v>
      </c>
      <c r="B54" s="4" t="s">
        <v>68</v>
      </c>
      <c r="C54" s="4" t="s">
        <v>9</v>
      </c>
      <c r="D54" s="4" t="s">
        <v>94</v>
      </c>
      <c r="E54" s="3"/>
    </row>
    <row r="55" spans="1:5" x14ac:dyDescent="0.15">
      <c r="A55">
        <v>54</v>
      </c>
      <c r="B55" s="4" t="s">
        <v>69</v>
      </c>
      <c r="C55" s="4" t="s">
        <v>59</v>
      </c>
      <c r="D55" s="4" t="s">
        <v>94</v>
      </c>
      <c r="E55" s="3"/>
    </row>
    <row r="56" spans="1:5" x14ac:dyDescent="0.15">
      <c r="A56">
        <v>55</v>
      </c>
      <c r="B56" s="4" t="s">
        <v>69</v>
      </c>
      <c r="C56" s="4" t="s">
        <v>7</v>
      </c>
      <c r="D56" s="4" t="s">
        <v>94</v>
      </c>
      <c r="E56" s="3"/>
    </row>
    <row r="57" spans="1:5" x14ac:dyDescent="0.15">
      <c r="A57">
        <v>56</v>
      </c>
      <c r="B57" s="4" t="s">
        <v>69</v>
      </c>
      <c r="C57" s="4" t="s">
        <v>8</v>
      </c>
      <c r="D57" s="4" t="s">
        <v>94</v>
      </c>
      <c r="E57" s="3"/>
    </row>
    <row r="58" spans="1:5" x14ac:dyDescent="0.15">
      <c r="A58">
        <v>57</v>
      </c>
      <c r="B58" s="4" t="s">
        <v>69</v>
      </c>
      <c r="C58" s="4" t="s">
        <v>9</v>
      </c>
      <c r="D58" s="4" t="s">
        <v>94</v>
      </c>
      <c r="E58" s="3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tabSelected="1" workbookViewId="0">
      <selection activeCell="F5" sqref="F5"/>
    </sheetView>
  </sheetViews>
  <sheetFormatPr defaultRowHeight="12" x14ac:dyDescent="0.15"/>
  <sheetData>
    <row r="1" spans="1:6" ht="25.5" customHeight="1" x14ac:dyDescent="0.15">
      <c r="A1" s="1" t="s">
        <v>47</v>
      </c>
      <c r="B1" s="1" t="s">
        <v>42</v>
      </c>
      <c r="C1" s="1" t="s">
        <v>43</v>
      </c>
      <c r="D1" s="2" t="s">
        <v>96</v>
      </c>
      <c r="E1" s="2" t="s">
        <v>97</v>
      </c>
      <c r="F1" s="2" t="s">
        <v>98</v>
      </c>
    </row>
    <row r="2" spans="1:6" x14ac:dyDescent="0.15">
      <c r="A2" s="3">
        <v>1</v>
      </c>
      <c r="B2" s="3" t="s">
        <v>44</v>
      </c>
      <c r="C2" s="3" t="s">
        <v>46</v>
      </c>
      <c r="D2" s="3"/>
      <c r="E2" s="3"/>
      <c r="F2" s="3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"/>
  <sheetViews>
    <sheetView workbookViewId="0">
      <selection activeCell="D8" sqref="D8"/>
    </sheetView>
  </sheetViews>
  <sheetFormatPr defaultRowHeight="12" x14ac:dyDescent="0.15"/>
  <sheetData>
    <row r="1" spans="1:20" ht="24" x14ac:dyDescent="0.15">
      <c r="A1" s="2" t="s">
        <v>4</v>
      </c>
      <c r="B1" s="2" t="s">
        <v>12</v>
      </c>
      <c r="C1" s="2" t="s">
        <v>35</v>
      </c>
      <c r="D1" s="2" t="s">
        <v>36</v>
      </c>
      <c r="E1" s="2" t="s">
        <v>28</v>
      </c>
      <c r="F1" s="2" t="s">
        <v>85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15">
      <c r="A2" s="3">
        <v>1</v>
      </c>
      <c r="B2" s="3" t="s">
        <v>29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"/>
  <sheetViews>
    <sheetView workbookViewId="0">
      <selection activeCell="F5" sqref="F5"/>
    </sheetView>
  </sheetViews>
  <sheetFormatPr defaultRowHeight="12" x14ac:dyDescent="0.15"/>
  <sheetData>
    <row r="1" spans="1:20" ht="26.25" customHeight="1" x14ac:dyDescent="0.15">
      <c r="A1" s="2" t="s">
        <v>33</v>
      </c>
      <c r="B1" s="2" t="s">
        <v>34</v>
      </c>
      <c r="C1" s="2" t="s">
        <v>37</v>
      </c>
      <c r="D1" s="2" t="s">
        <v>35</v>
      </c>
      <c r="E1" s="2" t="s">
        <v>36</v>
      </c>
      <c r="F1" s="2" t="s">
        <v>28</v>
      </c>
      <c r="G1" s="2" t="s">
        <v>85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Settings</vt:lpstr>
      <vt:lpstr>Vessels</vt:lpstr>
      <vt:lpstr>CrudeReceipts</vt:lpstr>
      <vt:lpstr>Tanks</vt:lpstr>
      <vt:lpstr>Pipelines</vt:lpstr>
      <vt:lpstr>CDUs</vt:lpstr>
      <vt:lpstr>Operations</vt:lpstr>
      <vt:lpstr>StartPoint</vt:lpstr>
      <vt:lpstr>Crudes</vt:lpstr>
      <vt:lpstr>CBlends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i-Steam-2</cp:lastModifiedBy>
  <dcterms:created xsi:type="dcterms:W3CDTF">2017-03-22T06:40:04Z</dcterms:created>
  <dcterms:modified xsi:type="dcterms:W3CDTF">2017-05-23T09:56:08Z</dcterms:modified>
</cp:coreProperties>
</file>